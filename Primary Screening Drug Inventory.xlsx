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ile_management\Organize_projects\22_药物重定位\论文0205\standard\原始数据\"/>
    </mc:Choice>
  </mc:AlternateContent>
  <xr:revisionPtr revIDLastSave="0" documentId="8_{1CA34F63-5EB6-41B9-8EB8-15FD5E4DEA99}" xr6:coauthVersionLast="47" xr6:coauthVersionMax="47" xr10:uidLastSave="{00000000-0000-0000-0000-000000000000}"/>
  <bookViews>
    <workbookView xWindow="4460" yWindow="1770" windowWidth="21140" windowHeight="11910" xr2:uid="{00000000-000D-0000-FFFF-FFFF00000000}"/>
  </bookViews>
  <sheets>
    <sheet name="drug1" sheetId="1" r:id="rId1"/>
  </sheets>
  <definedNames>
    <definedName name="_xlnm._FilterDatabase" localSheetId="0" hidden="1">drug1!$A$1:$R$233</definedName>
    <definedName name="_xlnm.Criteria" localSheetId="0">drug1!$A$1:$A$233</definedName>
    <definedName name="_xlnm.Extract" localSheetId="0">#REF!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5" i="1" l="1"/>
  <c r="F33" i="1"/>
  <c r="F215" i="1"/>
  <c r="F6" i="1"/>
  <c r="F32" i="1"/>
  <c r="F34" i="1"/>
  <c r="F93" i="1"/>
  <c r="F112" i="1"/>
  <c r="F7" i="1"/>
  <c r="F114" i="1"/>
  <c r="F77" i="1"/>
  <c r="F190" i="1"/>
  <c r="F124" i="1"/>
  <c r="F43" i="1"/>
  <c r="F152" i="1"/>
  <c r="F192" i="1"/>
  <c r="F206" i="1"/>
  <c r="F127" i="1"/>
  <c r="F95" i="1"/>
  <c r="F123" i="1"/>
  <c r="F88" i="1"/>
  <c r="F85" i="1"/>
  <c r="F202" i="1"/>
  <c r="F196" i="1"/>
  <c r="F177" i="1"/>
  <c r="F218" i="1"/>
  <c r="F204" i="1"/>
  <c r="F42" i="1"/>
  <c r="F197" i="1"/>
  <c r="F210" i="1"/>
  <c r="F9" i="1"/>
  <c r="F142" i="1"/>
  <c r="F56" i="1"/>
  <c r="F193" i="1"/>
  <c r="F211" i="1"/>
  <c r="F137" i="1"/>
  <c r="F176" i="1"/>
  <c r="F49" i="1"/>
  <c r="F107" i="1"/>
  <c r="F143" i="1"/>
  <c r="F157" i="1"/>
  <c r="F212" i="1"/>
  <c r="F4" i="1"/>
  <c r="F213" i="1"/>
  <c r="F207" i="1"/>
  <c r="F25" i="1"/>
  <c r="F140" i="1"/>
  <c r="F136" i="1"/>
  <c r="F45" i="1"/>
  <c r="F138" i="1"/>
  <c r="F205" i="1"/>
  <c r="F90" i="1"/>
  <c r="F171" i="1"/>
  <c r="F166" i="1"/>
  <c r="F209" i="1"/>
  <c r="F11" i="1"/>
  <c r="F60" i="1"/>
  <c r="F214" i="1"/>
  <c r="F5" i="1"/>
  <c r="F26" i="1"/>
  <c r="F188" i="1"/>
  <c r="F122" i="1"/>
  <c r="F87" i="1"/>
  <c r="F162" i="1"/>
  <c r="F3" i="1"/>
  <c r="F153" i="1"/>
  <c r="F165" i="1"/>
  <c r="F46" i="1"/>
  <c r="F216" i="1"/>
  <c r="F117" i="1"/>
  <c r="F8" i="1"/>
  <c r="F217" i="1"/>
  <c r="F52" i="1"/>
  <c r="F208" i="1"/>
  <c r="F186" i="1"/>
  <c r="F115" i="1"/>
  <c r="F59" i="1"/>
  <c r="F155" i="1"/>
  <c r="F219" i="1"/>
  <c r="F94" i="1"/>
  <c r="F38" i="1"/>
  <c r="F183" i="1"/>
  <c r="F145" i="1"/>
  <c r="F12" i="1"/>
  <c r="F134" i="1"/>
  <c r="F172" i="1"/>
  <c r="F47" i="1"/>
  <c r="F20" i="1"/>
  <c r="F39" i="1"/>
  <c r="F99" i="1"/>
  <c r="F68" i="1"/>
  <c r="F54" i="1"/>
  <c r="F30" i="1"/>
  <c r="F98" i="1"/>
  <c r="F62" i="1"/>
  <c r="F159" i="1"/>
  <c r="F121" i="1"/>
  <c r="F75" i="1"/>
  <c r="F16" i="1"/>
  <c r="F220" i="1"/>
  <c r="F221" i="1"/>
  <c r="F23" i="1"/>
  <c r="F167" i="1"/>
  <c r="F156" i="1"/>
  <c r="F187" i="1"/>
  <c r="F31" i="1"/>
  <c r="F169" i="1"/>
  <c r="F135" i="1"/>
  <c r="F78" i="1"/>
  <c r="F86" i="1"/>
  <c r="F199" i="1"/>
  <c r="F58" i="1"/>
  <c r="F102" i="1"/>
  <c r="F40" i="1"/>
  <c r="F179" i="1"/>
  <c r="F79" i="1"/>
  <c r="F18" i="1"/>
  <c r="F14" i="1"/>
  <c r="F48" i="1"/>
  <c r="F28" i="1"/>
  <c r="F27" i="1"/>
  <c r="F80" i="1"/>
  <c r="F149" i="1"/>
  <c r="F96" i="1"/>
  <c r="F222" i="1"/>
  <c r="F103" i="1"/>
  <c r="F113" i="1"/>
  <c r="F160" i="1"/>
  <c r="F110" i="1"/>
  <c r="F72" i="1"/>
  <c r="F61" i="1"/>
  <c r="F161" i="1"/>
  <c r="F223" i="1"/>
  <c r="F128" i="1"/>
  <c r="F189" i="1"/>
  <c r="F109" i="1"/>
  <c r="F224" i="1"/>
  <c r="F226" i="1"/>
  <c r="F139" i="1"/>
  <c r="F231" i="1"/>
  <c r="F36" i="1"/>
  <c r="F35" i="1"/>
  <c r="F104" i="1"/>
  <c r="F141" i="1"/>
  <c r="F106" i="1"/>
  <c r="F198" i="1"/>
  <c r="F132" i="1"/>
  <c r="F195" i="1"/>
  <c r="F227" i="1"/>
  <c r="F164" i="1"/>
  <c r="F203" i="1"/>
  <c r="F147" i="1"/>
  <c r="F225" i="1"/>
  <c r="F150" i="1"/>
  <c r="F130" i="1"/>
  <c r="F228" i="1"/>
  <c r="F118" i="1"/>
  <c r="F119" i="1"/>
  <c r="F74" i="1"/>
  <c r="F168" i="1"/>
  <c r="F185" i="1"/>
  <c r="F41" i="1"/>
  <c r="F97" i="1"/>
  <c r="F24" i="1"/>
  <c r="F51" i="1"/>
  <c r="F69" i="1"/>
  <c r="F22" i="1"/>
  <c r="F154" i="1"/>
  <c r="F29" i="1"/>
  <c r="F101" i="1"/>
  <c r="F15" i="1"/>
  <c r="F148" i="1"/>
  <c r="F73" i="1"/>
  <c r="F89" i="1"/>
  <c r="F63" i="1"/>
  <c r="F53" i="1"/>
  <c r="F57" i="1"/>
  <c r="F129" i="1"/>
  <c r="F92" i="1"/>
  <c r="F50" i="1"/>
  <c r="F151" i="1"/>
  <c r="F21" i="1"/>
  <c r="F64" i="1"/>
  <c r="F82" i="1"/>
  <c r="F81" i="1"/>
  <c r="F144" i="1"/>
  <c r="F184" i="1"/>
  <c r="F100" i="1"/>
  <c r="F76" i="1"/>
  <c r="F67" i="1"/>
  <c r="F201" i="1"/>
  <c r="F91" i="1"/>
  <c r="F71" i="1"/>
  <c r="F13" i="1"/>
  <c r="F17" i="1"/>
  <c r="F37" i="1"/>
  <c r="F182" i="1"/>
  <c r="F158" i="1"/>
  <c r="F175" i="1"/>
  <c r="F229" i="1"/>
  <c r="F133" i="1"/>
  <c r="F84" i="1"/>
  <c r="F181" i="1"/>
  <c r="F44" i="1"/>
  <c r="F19" i="1"/>
  <c r="F170" i="1"/>
  <c r="F116" i="1"/>
  <c r="F120" i="1"/>
  <c r="F146" i="1"/>
  <c r="F65" i="1"/>
  <c r="F108" i="1"/>
  <c r="F194" i="1"/>
  <c r="F111" i="1"/>
  <c r="F230" i="1"/>
  <c r="F232" i="1"/>
  <c r="F178" i="1"/>
  <c r="F233" i="1"/>
  <c r="F55" i="1"/>
  <c r="F66" i="1"/>
  <c r="F163" i="1"/>
  <c r="F10" i="1"/>
  <c r="F180" i="1"/>
  <c r="F191" i="1"/>
  <c r="F131" i="1"/>
  <c r="F174" i="1"/>
  <c r="F83" i="1"/>
  <c r="F70" i="1"/>
  <c r="F173" i="1"/>
  <c r="F105" i="1"/>
  <c r="F200" i="1"/>
  <c r="F126" i="1"/>
  <c r="F2" i="1"/>
</calcChain>
</file>

<file path=xl/sharedStrings.xml><?xml version="1.0" encoding="utf-8"?>
<sst xmlns="http://schemas.openxmlformats.org/spreadsheetml/2006/main" count="486" uniqueCount="484">
  <si>
    <t>Cat</t>
  </si>
  <si>
    <t>Drug Name</t>
  </si>
  <si>
    <t>S1022</t>
  </si>
  <si>
    <t>Ridaforolimus (Deforolimus, MK-8669)</t>
  </si>
  <si>
    <t>S1039</t>
  </si>
  <si>
    <t>Rapamycin (AY-22989)</t>
  </si>
  <si>
    <t>S1044</t>
  </si>
  <si>
    <t>Temsirolimus (CCI-779)</t>
  </si>
  <si>
    <t>S1120</t>
  </si>
  <si>
    <t>Everolimus (RAD001)</t>
  </si>
  <si>
    <t>S1148</t>
  </si>
  <si>
    <t>Docetaxel (RP56976)</t>
  </si>
  <si>
    <t>S1150</t>
  </si>
  <si>
    <t>Paclitaxel (NSC 125973)</t>
  </si>
  <si>
    <t>S1183</t>
  </si>
  <si>
    <t>Danoprevir (ITMN-191)</t>
  </si>
  <si>
    <t>S1190</t>
  </si>
  <si>
    <t>Bicalutamide (ICI-176334)</t>
  </si>
  <si>
    <t>S1202</t>
  </si>
  <si>
    <t>Dutasteride</t>
  </si>
  <si>
    <t>S1214</t>
  </si>
  <si>
    <t>Bleomycin (NSC125066) sulfate</t>
  </si>
  <si>
    <t>S1223</t>
  </si>
  <si>
    <t>Epirubicin (IMI 28) HCl</t>
  </si>
  <si>
    <t>S1241</t>
  </si>
  <si>
    <t>Vincristine (NSC-67574) sulfate</t>
  </si>
  <si>
    <t>S1250</t>
  </si>
  <si>
    <t>Enzalutamide (MDV3100)</t>
  </si>
  <si>
    <t>S1261</t>
  </si>
  <si>
    <t>Celecoxib聽(SC 58635)</t>
  </si>
  <si>
    <t>S1373</t>
  </si>
  <si>
    <t>Daptomycin (LY146032)</t>
  </si>
  <si>
    <t>S1393</t>
  </si>
  <si>
    <t>Pirarubicin (NSC-333054)</t>
  </si>
  <si>
    <t>S1514</t>
  </si>
  <si>
    <t>Cyclosporine</t>
  </si>
  <si>
    <t>S1553</t>
  </si>
  <si>
    <t>Delafloxacin (ABT-492)</t>
  </si>
  <si>
    <t>S1635</t>
  </si>
  <si>
    <t>Erythromycin</t>
  </si>
  <si>
    <t>S1655</t>
  </si>
  <si>
    <t>Ezetimibe (SCH-58235)</t>
  </si>
  <si>
    <t>S1741</t>
  </si>
  <si>
    <t>Rifabutin (LM427)</t>
  </si>
  <si>
    <t>S1760</t>
  </si>
  <si>
    <t>Rifapentine</t>
  </si>
  <si>
    <t>S1764</t>
  </si>
  <si>
    <t>Rifampin (NSC-113926)</t>
  </si>
  <si>
    <t>S1787</t>
  </si>
  <si>
    <t>Teniposide</t>
  </si>
  <si>
    <t>S1790</t>
  </si>
  <si>
    <t>Rifaximin</t>
  </si>
  <si>
    <t>S1791</t>
  </si>
  <si>
    <t>Bacitracin Zinc</t>
  </si>
  <si>
    <t>S1832</t>
  </si>
  <si>
    <t>Atracurium Besylate</t>
  </si>
  <si>
    <t>S1835</t>
  </si>
  <si>
    <t>Azithromycin (CP-62993)</t>
  </si>
  <si>
    <t>S1992</t>
  </si>
  <si>
    <t>Fluticasone propionate</t>
  </si>
  <si>
    <t>S2077</t>
  </si>
  <si>
    <t>Atorvastatin Calcium</t>
  </si>
  <si>
    <t>S2113</t>
  </si>
  <si>
    <t>Cisatracurium Besylate</t>
  </si>
  <si>
    <t>S2119</t>
  </si>
  <si>
    <t>Probucol</t>
  </si>
  <si>
    <t>S2286</t>
  </si>
  <si>
    <t>Cyclosporin A (NSC 290193)</t>
  </si>
  <si>
    <t>S2369</t>
  </si>
  <si>
    <t>Troxerutin</t>
  </si>
  <si>
    <t>S2506</t>
  </si>
  <si>
    <t>Roxithromycin</t>
  </si>
  <si>
    <t>S2534</t>
  </si>
  <si>
    <t>Isoconazole nitrate</t>
  </si>
  <si>
    <t>S2555</t>
  </si>
  <si>
    <t>Clarithromycin</t>
  </si>
  <si>
    <t>S2608</t>
  </si>
  <si>
    <t>Fluocinonide</t>
  </si>
  <si>
    <t>S2673</t>
  </si>
  <si>
    <t>Trametinib (GSK1120212)</t>
  </si>
  <si>
    <t>S2840</t>
  </si>
  <si>
    <t>Apalutamide聽(ARN-509)</t>
  </si>
  <si>
    <t>S3022</t>
  </si>
  <si>
    <t>Cabazitaxel (XRP6258)</t>
  </si>
  <si>
    <t>S3035</t>
  </si>
  <si>
    <t>Daunorubicin (RP 13057) HCl</t>
  </si>
  <si>
    <t>S3038</t>
  </si>
  <si>
    <t>Fosaprepitant dimeglumine salt</t>
  </si>
  <si>
    <t>S3162</t>
  </si>
  <si>
    <t>Tylosin tartrate</t>
  </si>
  <si>
    <t>S3618</t>
  </si>
  <si>
    <t>Acetylspiramycin (ASPM)</t>
  </si>
  <si>
    <t>S3722</t>
  </si>
  <si>
    <t>Isavuconazole</t>
  </si>
  <si>
    <t>S3951</t>
  </si>
  <si>
    <t>Tannic acid</t>
  </si>
  <si>
    <t>S4018</t>
  </si>
  <si>
    <t>Sennoside B</t>
  </si>
  <si>
    <t>S4060</t>
  </si>
  <si>
    <t>Erythromycin Ethylsuccinate</t>
  </si>
  <si>
    <t>S4064</t>
  </si>
  <si>
    <t>Escitalopram Oxalate</t>
  </si>
  <si>
    <t>S4084</t>
  </si>
  <si>
    <t>Lomerizine 2HCl</t>
  </si>
  <si>
    <t>S4095</t>
  </si>
  <si>
    <t>Difluprednate</t>
  </si>
  <si>
    <t>S4122</t>
  </si>
  <si>
    <t>Tilmicosin</t>
  </si>
  <si>
    <t>S4147</t>
  </si>
  <si>
    <t>Azithromycin Dihydrate</t>
  </si>
  <si>
    <t>S4151</t>
  </si>
  <si>
    <t>Penfluridol</t>
  </si>
  <si>
    <t>S4227</t>
  </si>
  <si>
    <t>Fidaxomicin</t>
  </si>
  <si>
    <t>S4269</t>
  </si>
  <si>
    <t>Vinorelbine ditartrate (KW-2307)</t>
  </si>
  <si>
    <t>S4286</t>
  </si>
  <si>
    <t>Anidulafungin (LY303366)</t>
  </si>
  <si>
    <t>S1021</t>
  </si>
  <si>
    <t>Dasatinib (BMS-354825)</t>
  </si>
  <si>
    <t>S1098</t>
  </si>
  <si>
    <t>Rucaparib (AG-014699) phosphate</t>
  </si>
  <si>
    <t>S1197</t>
  </si>
  <si>
    <t>Finasteride</t>
  </si>
  <si>
    <t>S1284</t>
  </si>
  <si>
    <t>Benazepril HCl</t>
  </si>
  <si>
    <t>S1344</t>
  </si>
  <si>
    <t>Glimepiride</t>
  </si>
  <si>
    <t>S1374</t>
  </si>
  <si>
    <t>Doripenem Hydrate</t>
  </si>
  <si>
    <t>S1381</t>
  </si>
  <si>
    <t>Meropenem</t>
  </si>
  <si>
    <t>S1397</t>
  </si>
  <si>
    <t>Rocuronium Bromide</t>
  </si>
  <si>
    <t>S1405</t>
  </si>
  <si>
    <t>Vecuronium Bromide</t>
  </si>
  <si>
    <t>S1465</t>
  </si>
  <si>
    <t>Moxifloxacin (BAY12-8039) HCl</t>
  </si>
  <si>
    <t>S1499</t>
  </si>
  <si>
    <t>Cefaclor</t>
  </si>
  <si>
    <t>S1526</t>
  </si>
  <si>
    <t>Quizartinib (AC220)</t>
  </si>
  <si>
    <t>S1538</t>
  </si>
  <si>
    <t>Telaprevir (VX-950)</t>
  </si>
  <si>
    <t>S1540</t>
  </si>
  <si>
    <t>Saxagliptin (BMS-477118)</t>
  </si>
  <si>
    <t>S1549</t>
  </si>
  <si>
    <t>Nebivolol hydrochloride (R-65824)</t>
  </si>
  <si>
    <t>S1620</t>
  </si>
  <si>
    <t>Darunavir Ethanolate</t>
  </si>
  <si>
    <t>S1683</t>
  </si>
  <si>
    <t>Ipratropium Bromide</t>
  </si>
  <si>
    <t>S1715</t>
  </si>
  <si>
    <t>Glipizide</t>
  </si>
  <si>
    <t>S1763</t>
  </si>
  <si>
    <t>Quetiapine (ICI-204636) fumarate</t>
  </si>
  <si>
    <t>S1768</t>
  </si>
  <si>
    <t>Cefditoren Pivoxil</t>
  </si>
  <si>
    <t>S1793</t>
  </si>
  <si>
    <t>Ramipril</t>
  </si>
  <si>
    <t>S1884</t>
  </si>
  <si>
    <t>Sparfloxacin</t>
  </si>
  <si>
    <t>S1888</t>
  </si>
  <si>
    <t>Deflazacort</t>
  </si>
  <si>
    <t>S1902</t>
  </si>
  <si>
    <t>Vitamin B12</t>
  </si>
  <si>
    <t>S1941</t>
  </si>
  <si>
    <t>Enalapril Maleate</t>
  </si>
  <si>
    <t>S1978</t>
  </si>
  <si>
    <t>Methscopolamine</t>
  </si>
  <si>
    <t>S2069</t>
  </si>
  <si>
    <t>Argatroban (MCI-9038)</t>
  </si>
  <si>
    <t>S2099</t>
  </si>
  <si>
    <t>Temocapril HCl</t>
  </si>
  <si>
    <t>S2318</t>
  </si>
  <si>
    <t>Lappaconitine</t>
  </si>
  <si>
    <t>S2322</t>
  </si>
  <si>
    <t>(+)-Matrine</t>
  </si>
  <si>
    <t>S2338</t>
  </si>
  <si>
    <t>Oxymatrine</t>
  </si>
  <si>
    <t>S2378</t>
  </si>
  <si>
    <t>Butylscopolamine Bromide</t>
  </si>
  <si>
    <t>S2387</t>
  </si>
  <si>
    <t>Lappaconite HBr</t>
  </si>
  <si>
    <t>S2481</t>
  </si>
  <si>
    <t>Manidipine</t>
  </si>
  <si>
    <t>S2482</t>
  </si>
  <si>
    <t>Manidipine 2HCl</t>
  </si>
  <si>
    <t>S2485</t>
  </si>
  <si>
    <t>Mitoxantrone (NSC-301739)聽2HCl</t>
  </si>
  <si>
    <t>S2497</t>
  </si>
  <si>
    <t>Pancuronium dibromide</t>
  </si>
  <si>
    <t>S2508</t>
  </si>
  <si>
    <t>Scopolamine (LSM-4015) HBr</t>
  </si>
  <si>
    <t>S2547</t>
  </si>
  <si>
    <t>Tiotropium Bromide hydrate</t>
  </si>
  <si>
    <t>S2549</t>
  </si>
  <si>
    <t>Trospium chloride</t>
  </si>
  <si>
    <t>S2564</t>
  </si>
  <si>
    <t>Cloxacillin Sodium</t>
  </si>
  <si>
    <t>S2565</t>
  </si>
  <si>
    <t>Amoxicillin Sodium</t>
  </si>
  <si>
    <t>S2581</t>
  </si>
  <si>
    <t>Quinapril HCl</t>
  </si>
  <si>
    <t>S2741</t>
  </si>
  <si>
    <t>Niraparib (MK-4827)</t>
  </si>
  <si>
    <t>S2762</t>
  </si>
  <si>
    <t>Alectinib (CH5424802)</t>
  </si>
  <si>
    <t>S2853</t>
  </si>
  <si>
    <t>Carfilzomib (PR-171)</t>
  </si>
  <si>
    <t>S3002</t>
  </si>
  <si>
    <t>Rivaroxaban (BAY 59-7939)</t>
  </si>
  <si>
    <t>S3015</t>
  </si>
  <si>
    <t>Amoxicillin</t>
  </si>
  <si>
    <t>S3033</t>
  </si>
  <si>
    <t>Vildagliptin (LAF-237)</t>
  </si>
  <si>
    <t>S3170</t>
  </si>
  <si>
    <t>Ampicillin sodium</t>
  </si>
  <si>
    <t>S3179</t>
  </si>
  <si>
    <t>Carbenicillin disodium</t>
  </si>
  <si>
    <t>S3193</t>
  </si>
  <si>
    <t>Ticarcillin sodium</t>
  </si>
  <si>
    <t>S3195</t>
  </si>
  <si>
    <t>Azlocillin sodium salt</t>
  </si>
  <si>
    <t>S3202</t>
  </si>
  <si>
    <t>Catharanthine</t>
  </si>
  <si>
    <t>S3637</t>
  </si>
  <si>
    <t>Cefpirome sulfate</t>
  </si>
  <si>
    <t>S3654</t>
  </si>
  <si>
    <t>Tauroursodeoxycholic Acid (TUDCA)</t>
  </si>
  <si>
    <t>S3655</t>
  </si>
  <si>
    <t>Cefepime Dihydrochloride Monohydrate</t>
  </si>
  <si>
    <t>S3668</t>
  </si>
  <si>
    <t>Thymopentin</t>
  </si>
  <si>
    <t>S3672</t>
  </si>
  <si>
    <t>Cefonicid sodium</t>
  </si>
  <si>
    <t>S3733</t>
  </si>
  <si>
    <t>Boceprevir</t>
  </si>
  <si>
    <t>S3895</t>
  </si>
  <si>
    <t>Sophoridine</t>
  </si>
  <si>
    <t>S3970</t>
  </si>
  <si>
    <t>Vindoline</t>
  </si>
  <si>
    <t>S4009</t>
  </si>
  <si>
    <t>Mirabegron</t>
  </si>
  <si>
    <t>S4019</t>
  </si>
  <si>
    <t>Avanafil</t>
  </si>
  <si>
    <t>S4031</t>
  </si>
  <si>
    <t>Aclidinium Bromide</t>
  </si>
  <si>
    <t>S4056</t>
  </si>
  <si>
    <t>Retapamulin</t>
  </si>
  <si>
    <t>S4148</t>
  </si>
  <si>
    <t>Ampicillin Trihydrate</t>
  </si>
  <si>
    <t>S4160</t>
  </si>
  <si>
    <t>Penicillin G Sodium</t>
  </si>
  <si>
    <t>S4163</t>
  </si>
  <si>
    <t>Doxycycline Hyclate (WC2031)</t>
  </si>
  <si>
    <t>S4179</t>
  </si>
  <si>
    <t>Mezlocillin Sodium</t>
  </si>
  <si>
    <t>S4216</t>
  </si>
  <si>
    <t>Valnemulin HCl</t>
  </si>
  <si>
    <t>S4222</t>
  </si>
  <si>
    <t>Piperacillin Sodium</t>
  </si>
  <si>
    <t>S4259</t>
  </si>
  <si>
    <t>Vilazodone HCl</t>
  </si>
  <si>
    <t>S4282</t>
  </si>
  <si>
    <t>Nelfinavir (AG 1343) Mesylate</t>
  </si>
  <si>
    <t>S1005</t>
  </si>
  <si>
    <t>Axitinib (AG 013736)</t>
  </si>
  <si>
    <t>S1008</t>
  </si>
  <si>
    <t>Selumetinib (AZD6244)</t>
  </si>
  <si>
    <t>S1026</t>
  </si>
  <si>
    <t>Imatinib (STI571) Mesylate</t>
  </si>
  <si>
    <t>S1028</t>
  </si>
  <si>
    <t>Lapatinib (GW-572016) Ditosylate</t>
  </si>
  <si>
    <t>S1033</t>
  </si>
  <si>
    <t>Nilotinib (AMN-107)</t>
  </si>
  <si>
    <t>S1035</t>
  </si>
  <si>
    <t>Pazopanib HCl (GW786034 HCl)</t>
  </si>
  <si>
    <t>S1040</t>
  </si>
  <si>
    <t>Sorafenib (BAY 43-9006) tosylate</t>
  </si>
  <si>
    <t>S1042</t>
  </si>
  <si>
    <t>Sunitinib (SU11248) malate</t>
  </si>
  <si>
    <t>S1068</t>
  </si>
  <si>
    <t>Crizotinib (PF-02341066)</t>
  </si>
  <si>
    <t>S1178</t>
  </si>
  <si>
    <t>Regorafenib (BAY 73-4506)</t>
  </si>
  <si>
    <t>S1189</t>
  </si>
  <si>
    <t>Aprepitant (MK-0869)</t>
  </si>
  <si>
    <t>S1191</t>
  </si>
  <si>
    <t>Fulvestrant (ICI-182780)</t>
  </si>
  <si>
    <t>S1247</t>
  </si>
  <si>
    <t>Leflunomide (HWA486)</t>
  </si>
  <si>
    <t>S1257</t>
  </si>
  <si>
    <t>Posaconazole (SCH 56592)</t>
  </si>
  <si>
    <t>S1267</t>
  </si>
  <si>
    <t>Vemurafenib (PLX4032)</t>
  </si>
  <si>
    <t>S1276</t>
  </si>
  <si>
    <t>Adapalene</t>
  </si>
  <si>
    <t>S1294</t>
  </si>
  <si>
    <t>Cilostazol (OPC-13013)</t>
  </si>
  <si>
    <t>S1331</t>
  </si>
  <si>
    <t>Fluconazole (UK 49858)</t>
  </si>
  <si>
    <t>S1332</t>
  </si>
  <si>
    <t>Flumazenil (RO 15-1788)</t>
  </si>
  <si>
    <t>S1333</t>
  </si>
  <si>
    <t>Fluoxetine (Lilly 110140) HCl</t>
  </si>
  <si>
    <t>S1336</t>
  </si>
  <si>
    <t>Fluvoxamine (DU-23000) maleate</t>
  </si>
  <si>
    <t>S1340</t>
  </si>
  <si>
    <t>Gatifloxacin</t>
  </si>
  <si>
    <t>S1354</t>
  </si>
  <si>
    <t>Lansoprazole</t>
  </si>
  <si>
    <t>S1386</t>
  </si>
  <si>
    <t>Nafamostat mesilate (FUT-175)</t>
  </si>
  <si>
    <t>S1453</t>
  </si>
  <si>
    <t>Tipifarnib (R115777)</t>
  </si>
  <si>
    <t>S1490</t>
  </si>
  <si>
    <t>Ponatinib (AP24534)</t>
  </si>
  <si>
    <t>S1578</t>
  </si>
  <si>
    <t>Candesartan (CV-11974)</t>
  </si>
  <si>
    <t>0(?)</t>
  </si>
  <si>
    <t>S1613</t>
  </si>
  <si>
    <t>Silodosin</t>
  </si>
  <si>
    <t>S1633</t>
  </si>
  <si>
    <t>Zafirlukast (ICI-204219)</t>
  </si>
  <si>
    <t>S1776</t>
  </si>
  <si>
    <t>Toremifene Citrate (NK 622)</t>
  </si>
  <si>
    <t>S1829</t>
  </si>
  <si>
    <t>Pranlukast</t>
  </si>
  <si>
    <t>S1855</t>
  </si>
  <si>
    <t>Pefloxacin Mesylate</t>
  </si>
  <si>
    <t>S1908</t>
  </si>
  <si>
    <t>Flutamide</t>
  </si>
  <si>
    <t>S1917</t>
  </si>
  <si>
    <t>Crystal Violet</t>
  </si>
  <si>
    <t>S1940</t>
  </si>
  <si>
    <t>Levofloxacin</t>
  </si>
  <si>
    <t>S1979</t>
  </si>
  <si>
    <t>Amiodarone (NSC 85442) HCl</t>
  </si>
  <si>
    <t>S2003</t>
  </si>
  <si>
    <t>Maraviroc (UK-427857)</t>
  </si>
  <si>
    <t>S2007</t>
  </si>
  <si>
    <t>Sulindac</t>
  </si>
  <si>
    <t>S2030</t>
  </si>
  <si>
    <t>Flunarizine 2HCl</t>
  </si>
  <si>
    <t>S2037</t>
  </si>
  <si>
    <t>Candesartan Cilexetil</t>
  </si>
  <si>
    <t>1(?)</t>
  </si>
  <si>
    <t>S2064</t>
  </si>
  <si>
    <t>Balofloxacin</t>
  </si>
  <si>
    <t>S2071</t>
  </si>
  <si>
    <t>Prulifloxacin (NM441)</t>
  </si>
  <si>
    <t>S2108</t>
  </si>
  <si>
    <t>Flunixin Meglumin</t>
  </si>
  <si>
    <t>S2111</t>
  </si>
  <si>
    <t>Lapatinib (GW-572016)</t>
  </si>
  <si>
    <t>S2116</t>
  </si>
  <si>
    <t>Conivaptan HCl</t>
  </si>
  <si>
    <t>S2154</t>
  </si>
  <si>
    <t>Dabigatran (BIBR-1048) etexilate</t>
  </si>
  <si>
    <t>S2173</t>
  </si>
  <si>
    <t>Telotristat Etiprate (LX 1606 Hippurate)</t>
  </si>
  <si>
    <t>S2226</t>
  </si>
  <si>
    <t>Idelalisib</t>
  </si>
  <si>
    <t>S2229</t>
  </si>
  <si>
    <t>Eltrombopag (SB497115) Olamine</t>
  </si>
  <si>
    <t>S2403</t>
  </si>
  <si>
    <t>Tetrandrine (NSC-77037)</t>
  </si>
  <si>
    <t>S2470</t>
  </si>
  <si>
    <t>Fluocinolone Acetonide</t>
  </si>
  <si>
    <t>S2475</t>
  </si>
  <si>
    <t>Imatinib (STI571)</t>
  </si>
  <si>
    <t>S2593</t>
  </si>
  <si>
    <t>Tolvaptan</t>
  </si>
  <si>
    <t>S2765</t>
  </si>
  <si>
    <t>MK-2048</t>
  </si>
  <si>
    <t>S2792</t>
  </si>
  <si>
    <t>Torcetrapib</t>
  </si>
  <si>
    <t>S2807</t>
  </si>
  <si>
    <t>Dabrafenib (GSK2118436)</t>
  </si>
  <si>
    <t>S3018</t>
  </si>
  <si>
    <t>Niflumic acid</t>
  </si>
  <si>
    <t>S3067</t>
  </si>
  <si>
    <t>Chlorhexidine 2HCl</t>
  </si>
  <si>
    <t>S3105</t>
  </si>
  <si>
    <t>Nadifloxacin</t>
  </si>
  <si>
    <t>S3201</t>
  </si>
  <si>
    <t>Trifluoperazine 2HCl</t>
  </si>
  <si>
    <t>S3207</t>
  </si>
  <si>
    <t>Iopromide</t>
  </si>
  <si>
    <t>S3606</t>
  </si>
  <si>
    <t>Fangchinoline</t>
  </si>
  <si>
    <t>S3609</t>
  </si>
  <si>
    <t>Berbamine dihydrochloride</t>
  </si>
  <si>
    <t>S3621</t>
  </si>
  <si>
    <t>Pazufloxacin mesylate</t>
  </si>
  <si>
    <t>S3714</t>
  </si>
  <si>
    <t>Lifitegrast</t>
  </si>
  <si>
    <t>S3738</t>
  </si>
  <si>
    <t>Travoprost</t>
  </si>
  <si>
    <t>S3957</t>
  </si>
  <si>
    <t>Gamma-Oryzanol</t>
  </si>
  <si>
    <t>S4002</t>
  </si>
  <si>
    <t>Sitagliptin phosphate monohydrate</t>
  </si>
  <si>
    <t>S4044</t>
  </si>
  <si>
    <t>Toltrazuril</t>
  </si>
  <si>
    <t>S4079</t>
  </si>
  <si>
    <t>Ticagrelor</t>
  </si>
  <si>
    <t>S4088</t>
  </si>
  <si>
    <t>Flumethasone</t>
  </si>
  <si>
    <t>S4089</t>
  </si>
  <si>
    <t>Halobetasol Propionate</t>
  </si>
  <si>
    <t>S4099</t>
  </si>
  <si>
    <t>Dexlansoprazole</t>
  </si>
  <si>
    <t>S4105</t>
  </si>
  <si>
    <t>Closantel Sodium</t>
  </si>
  <si>
    <t>S4106</t>
  </si>
  <si>
    <t>Closantel</t>
  </si>
  <si>
    <t>S4119</t>
  </si>
  <si>
    <t>Pefloxacin Mesylate Dihydrate</t>
  </si>
  <si>
    <t>S4169</t>
  </si>
  <si>
    <t>Teriflunomide</t>
  </si>
  <si>
    <t>S4201</t>
  </si>
  <si>
    <t>Florfenicol</t>
  </si>
  <si>
    <t>S4211</t>
  </si>
  <si>
    <t>Montelukast Sodium</t>
  </si>
  <si>
    <t>S4238</t>
  </si>
  <si>
    <t>Cepharanthine</t>
  </si>
  <si>
    <t>S4260</t>
  </si>
  <si>
    <t>Tamibarotene</t>
  </si>
  <si>
    <t>S4268</t>
  </si>
  <si>
    <t>Flufenamic acid</t>
  </si>
  <si>
    <t>S2266</t>
  </si>
  <si>
    <t>Asiatic Acid</t>
  </si>
  <si>
    <t>S2296</t>
  </si>
  <si>
    <t>Enoxolone</t>
  </si>
  <si>
    <t>S2302</t>
  </si>
  <si>
    <t>Glycyrrhizin (NSC 167409)</t>
  </si>
  <si>
    <t>S2370</t>
  </si>
  <si>
    <t>Ursolic Acid</t>
  </si>
  <si>
    <t>S2376</t>
  </si>
  <si>
    <t>Ammonium Glycyrrhizinate</t>
  </si>
  <si>
    <t>S3616</t>
  </si>
  <si>
    <t>Asiaticoside</t>
  </si>
  <si>
    <t>S3622</t>
  </si>
  <si>
    <t>Diammonium Glycyrrhizinate</t>
  </si>
  <si>
    <t>S3728</t>
  </si>
  <si>
    <t>Grazoprevir</t>
  </si>
  <si>
    <t>S3785</t>
  </si>
  <si>
    <t>Notoginsenoside R1</t>
  </si>
  <si>
    <t>S3811</t>
  </si>
  <si>
    <t>Ginsenoside Re</t>
  </si>
  <si>
    <t>S3843</t>
  </si>
  <si>
    <t>Madecassoside</t>
  </si>
  <si>
    <t>S3847</t>
  </si>
  <si>
    <t>Panaxatriol</t>
  </si>
  <si>
    <t>S3899</t>
  </si>
  <si>
    <t>Hederagenin</t>
  </si>
  <si>
    <t>S3901</t>
  </si>
  <si>
    <t>Astragaloside IV</t>
  </si>
  <si>
    <t>S3914</t>
  </si>
  <si>
    <t>伪-Hederin</t>
  </si>
  <si>
    <t>S3919</t>
  </si>
  <si>
    <t>Hederacoside C</t>
  </si>
  <si>
    <t>S3923</t>
  </si>
  <si>
    <t>Ginsenoside Rg1</t>
  </si>
  <si>
    <t>S3924</t>
  </si>
  <si>
    <t>Ginsenoside Rb1</t>
  </si>
  <si>
    <t>CHEMBL1811</t>
  </si>
  <si>
    <t>CHEMBL1974</t>
  </si>
  <si>
    <t>CHEMBL1985</t>
  </si>
  <si>
    <t>CHEMBL4896</t>
  </si>
  <si>
    <t>MAX</t>
    <phoneticPr fontId="1" type="noConversion"/>
  </si>
  <si>
    <t>CHEMBL1974_IC50</t>
  </si>
  <si>
    <t>CHEMBL1974_Activity</t>
  </si>
  <si>
    <t>CHEMBL1974_Inhibition</t>
  </si>
  <si>
    <t>CHEMBL1974_Kd</t>
  </si>
  <si>
    <t>CHEMBL1985_IC50</t>
  </si>
  <si>
    <t>CHEMBL1985_Ki</t>
  </si>
  <si>
    <t>CHEMBL4896_IC50</t>
  </si>
  <si>
    <t>CHEMBL4896_Thermal melting change</t>
  </si>
  <si>
    <t>CHEMBL1811_IC50</t>
  </si>
  <si>
    <t>CHEMBL1811_Ki</t>
  </si>
  <si>
    <t>Whether the anticancer property is known (1 = known, 0 = unknown)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</si>
</sst>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right" vertical="center"/>
    </xf>
    <xf numFmtId="0" fontId="0" fillId="0" borderId="0" xfId="0" applyFill="1" applyAlignment="1">
      <alignment vertical="center"/>
    </xf>
    <xf numFmtId="176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6"/>
  <sheetViews>
    <sheetView tabSelected="1" zoomScale="70" zoomScaleNormal="70" workbookViewId="0">
      <selection activeCell="X6" sqref="X6"/>
    </sheetView>
  </sheetViews>
  <sheetFormatPr defaultColWidth="9.81640625" defaultRowHeight="14" x14ac:dyDescent="0.25"/>
  <cols>
    <col min="1" max="1" width="11.7265625" style="1" bestFit="1" customWidth="1"/>
    <col min="2" max="2" width="8.6328125" style="1" customWidth="1"/>
    <col min="3" max="3" width="8.26953125" style="1" customWidth="1"/>
    <col min="4" max="4" width="10.1796875" style="1" customWidth="1"/>
    <col min="5" max="5" width="8.54296875" style="1" customWidth="1"/>
    <col min="6" max="6" width="7.54296875" style="1" customWidth="1"/>
    <col min="7" max="8" width="7.1796875" style="1" customWidth="1"/>
    <col min="9" max="9" width="8.1796875" style="1" customWidth="1"/>
    <col min="10" max="10" width="9" style="1" customWidth="1"/>
    <col min="11" max="11" width="7.90625" style="1" customWidth="1"/>
    <col min="12" max="12" width="7.54296875" style="1" customWidth="1"/>
    <col min="13" max="13" width="7.08984375" style="1" customWidth="1"/>
    <col min="14" max="16" width="7.54296875" style="1" customWidth="1"/>
    <col min="17" max="17" width="40.7265625" style="1" customWidth="1"/>
    <col min="18" max="18" width="15.453125" style="1" customWidth="1"/>
    <col min="19" max="19" width="9.81640625" style="1"/>
  </cols>
  <sheetData>
    <row r="1" spans="1:19" x14ac:dyDescent="0.25">
      <c r="A1" s="1" t="s">
        <v>0</v>
      </c>
      <c r="B1" s="1" t="s">
        <v>468</v>
      </c>
      <c r="C1" s="1" t="s">
        <v>469</v>
      </c>
      <c r="D1" s="1" t="s">
        <v>470</v>
      </c>
      <c r="E1" s="1" t="s">
        <v>471</v>
      </c>
      <c r="F1" s="5" t="s">
        <v>472</v>
      </c>
      <c r="G1" s="5" t="s">
        <v>473</v>
      </c>
      <c r="H1" s="5" t="s">
        <v>474</v>
      </c>
      <c r="I1" s="5" t="s">
        <v>475</v>
      </c>
      <c r="J1" s="5" t="s">
        <v>476</v>
      </c>
      <c r="K1" s="5" t="s">
        <v>477</v>
      </c>
      <c r="L1" s="5" t="s">
        <v>478</v>
      </c>
      <c r="M1" s="5" t="s">
        <v>479</v>
      </c>
      <c r="N1" s="5" t="s">
        <v>480</v>
      </c>
      <c r="O1" s="5" t="s">
        <v>481</v>
      </c>
      <c r="P1" s="5" t="s">
        <v>482</v>
      </c>
      <c r="Q1" s="1" t="s">
        <v>1</v>
      </c>
      <c r="R1" s="1" t="s">
        <v>483</v>
      </c>
    </row>
    <row r="2" spans="1:19" x14ac:dyDescent="0.25">
      <c r="A2" s="3" t="s">
        <v>72</v>
      </c>
      <c r="B2" s="4">
        <v>0.95015514000000001</v>
      </c>
      <c r="C2" s="4">
        <v>4.9313849999999999E-3</v>
      </c>
      <c r="D2" s="4">
        <v>0.93504869999999995</v>
      </c>
      <c r="E2" s="4">
        <v>0.49131137000000003</v>
      </c>
      <c r="F2" s="4">
        <f t="shared" ref="F2:F65" si="0">MAX(B2:E2)</f>
        <v>0.95015514000000001</v>
      </c>
      <c r="G2" s="4"/>
      <c r="H2" s="4"/>
      <c r="I2" s="4"/>
      <c r="J2" s="4"/>
      <c r="K2" s="4"/>
      <c r="L2" s="4"/>
      <c r="M2" s="4"/>
      <c r="N2" s="4"/>
      <c r="O2" s="4">
        <v>15.410235999999999</v>
      </c>
      <c r="P2" s="4">
        <v>12.744408999999999</v>
      </c>
      <c r="Q2" s="1" t="s">
        <v>73</v>
      </c>
      <c r="R2" s="1">
        <v>0</v>
      </c>
      <c r="S2"/>
    </row>
    <row r="3" spans="1:19" x14ac:dyDescent="0.25">
      <c r="A3" s="3" t="s">
        <v>54</v>
      </c>
      <c r="B3" s="4">
        <v>0.99450463</v>
      </c>
      <c r="C3" s="4">
        <v>1.1392243E-5</v>
      </c>
      <c r="D3" s="4">
        <v>0.96156883000000004</v>
      </c>
      <c r="E3" s="4">
        <v>0.73377139999999996</v>
      </c>
      <c r="F3" s="4">
        <f t="shared" si="0"/>
        <v>0.99450463</v>
      </c>
      <c r="G3" s="4"/>
      <c r="H3" s="4"/>
      <c r="I3" s="4"/>
      <c r="J3" s="4"/>
      <c r="K3" s="4">
        <v>16.018992999999998</v>
      </c>
      <c r="L3" s="4">
        <v>14.772116</v>
      </c>
      <c r="M3" s="4"/>
      <c r="N3" s="4"/>
      <c r="O3" s="4">
        <v>17.135204000000002</v>
      </c>
      <c r="P3" s="4">
        <v>13.605411999999999</v>
      </c>
      <c r="Q3" s="11" t="s">
        <v>55</v>
      </c>
      <c r="R3" s="1">
        <v>0</v>
      </c>
      <c r="S3"/>
    </row>
    <row r="4" spans="1:19" x14ac:dyDescent="0.25">
      <c r="A4" s="3" t="s">
        <v>190</v>
      </c>
      <c r="B4" s="4">
        <v>0.42664819999999998</v>
      </c>
      <c r="C4" s="4">
        <v>0.99913954999999999</v>
      </c>
      <c r="D4" s="4">
        <v>0.52819985000000003</v>
      </c>
      <c r="E4" s="4">
        <v>0.91250724000000005</v>
      </c>
      <c r="F4" s="4">
        <f t="shared" si="0"/>
        <v>0.99913954999999999</v>
      </c>
      <c r="G4" s="4">
        <v>16.017320000000002</v>
      </c>
      <c r="H4" s="4">
        <v>43.534626000000003</v>
      </c>
      <c r="I4" s="4">
        <v>41.852077000000001</v>
      </c>
      <c r="J4" s="4">
        <v>13.278212</v>
      </c>
      <c r="K4" s="4"/>
      <c r="L4" s="4"/>
      <c r="M4" s="4"/>
      <c r="N4" s="4"/>
      <c r="O4" s="4"/>
      <c r="P4" s="4"/>
      <c r="Q4" s="1" t="s">
        <v>191</v>
      </c>
      <c r="R4" s="1">
        <v>0</v>
      </c>
      <c r="S4"/>
    </row>
    <row r="5" spans="1:19" x14ac:dyDescent="0.25">
      <c r="A5" s="3" t="s">
        <v>40</v>
      </c>
      <c r="B5" s="4">
        <v>0.97514959999999995</v>
      </c>
      <c r="C5" s="4">
        <v>0.37592502999999999</v>
      </c>
      <c r="D5" s="4">
        <v>0.9981679</v>
      </c>
      <c r="E5" s="4">
        <v>0.73459830000000004</v>
      </c>
      <c r="F5" s="4">
        <f t="shared" si="0"/>
        <v>0.9981679</v>
      </c>
      <c r="G5" s="4"/>
      <c r="H5" s="4"/>
      <c r="I5" s="4"/>
      <c r="J5" s="4"/>
      <c r="K5" s="4">
        <v>16.195587</v>
      </c>
      <c r="L5" s="4">
        <v>12.240663</v>
      </c>
      <c r="M5" s="4"/>
      <c r="N5" s="4"/>
      <c r="O5" s="4">
        <v>16.705121999999999</v>
      </c>
      <c r="P5" s="4">
        <v>13.025503</v>
      </c>
      <c r="Q5" s="11" t="s">
        <v>41</v>
      </c>
      <c r="R5" s="1">
        <v>0</v>
      </c>
      <c r="S5"/>
    </row>
    <row r="6" spans="1:19" x14ac:dyDescent="0.25">
      <c r="A6" s="1" t="s">
        <v>2</v>
      </c>
      <c r="B6" s="4">
        <v>0.96155679999999999</v>
      </c>
      <c r="C6" s="4">
        <v>0.20785355999999999</v>
      </c>
      <c r="D6" s="4">
        <v>0.67210780000000003</v>
      </c>
      <c r="E6" s="4">
        <v>0.95978450000000004</v>
      </c>
      <c r="F6" s="4">
        <f t="shared" si="0"/>
        <v>0.96155679999999999</v>
      </c>
      <c r="G6" s="4"/>
      <c r="H6" s="4"/>
      <c r="I6" s="4"/>
      <c r="J6" s="4"/>
      <c r="K6" s="4"/>
      <c r="L6" s="4"/>
      <c r="M6" s="4">
        <v>12.702711000000001</v>
      </c>
      <c r="N6" s="4">
        <v>0.15044571000000001</v>
      </c>
      <c r="O6" s="4">
        <v>17.141714</v>
      </c>
      <c r="P6" s="4">
        <v>13.980743</v>
      </c>
      <c r="Q6" s="1" t="s">
        <v>3</v>
      </c>
      <c r="R6" s="1">
        <v>1</v>
      </c>
      <c r="S6"/>
    </row>
    <row r="7" spans="1:19" x14ac:dyDescent="0.25">
      <c r="A7" s="1" t="s">
        <v>4</v>
      </c>
      <c r="B7" s="4">
        <v>0.95661490000000005</v>
      </c>
      <c r="C7" s="4">
        <v>0.16577359</v>
      </c>
      <c r="D7" s="4">
        <v>0.67034570000000004</v>
      </c>
      <c r="E7" s="4">
        <v>0.94250464</v>
      </c>
      <c r="F7" s="4">
        <f t="shared" si="0"/>
        <v>0.95661490000000005</v>
      </c>
      <c r="G7" s="4"/>
      <c r="H7" s="4"/>
      <c r="I7" s="4"/>
      <c r="J7" s="4"/>
      <c r="K7" s="4"/>
      <c r="L7" s="4"/>
      <c r="M7" s="4"/>
      <c r="N7" s="4"/>
      <c r="O7" s="4">
        <v>16.966583</v>
      </c>
      <c r="P7" s="4">
        <v>13.929732</v>
      </c>
      <c r="Q7" s="1" t="s">
        <v>5</v>
      </c>
      <c r="R7" s="1">
        <v>1</v>
      </c>
      <c r="S7"/>
    </row>
    <row r="8" spans="1:19" x14ac:dyDescent="0.25">
      <c r="A8" s="3" t="s">
        <v>162</v>
      </c>
      <c r="B8" s="4">
        <v>0.24406630000000001</v>
      </c>
      <c r="C8" s="4">
        <v>0.99302939999999995</v>
      </c>
      <c r="D8" s="4">
        <v>0.54562370000000004</v>
      </c>
      <c r="E8" s="4">
        <v>0.85168580000000005</v>
      </c>
      <c r="F8" s="4">
        <f t="shared" si="0"/>
        <v>0.99302939999999995</v>
      </c>
      <c r="G8" s="4">
        <v>15.889436999999999</v>
      </c>
      <c r="H8" s="4">
        <v>44.197589999999998</v>
      </c>
      <c r="I8" s="4">
        <v>39.540503999999999</v>
      </c>
      <c r="J8" s="4">
        <v>15.742824000000001</v>
      </c>
      <c r="K8" s="4"/>
      <c r="L8" s="4"/>
      <c r="M8" s="4"/>
      <c r="N8" s="4"/>
      <c r="O8" s="4"/>
      <c r="P8" s="4"/>
      <c r="Q8" s="11" t="s">
        <v>163</v>
      </c>
      <c r="R8" s="1">
        <v>0</v>
      </c>
      <c r="S8"/>
    </row>
    <row r="9" spans="1:19" x14ac:dyDescent="0.25">
      <c r="A9" s="3" t="s">
        <v>28</v>
      </c>
      <c r="B9" s="4">
        <v>0.95180200000000004</v>
      </c>
      <c r="C9" s="4">
        <v>0.61938130000000002</v>
      </c>
      <c r="D9" s="4">
        <v>0.99976690000000001</v>
      </c>
      <c r="E9" s="4">
        <v>0.67665169999999997</v>
      </c>
      <c r="F9" s="4">
        <f t="shared" si="0"/>
        <v>0.99976690000000001</v>
      </c>
      <c r="G9" s="4"/>
      <c r="H9" s="4"/>
      <c r="I9" s="4"/>
      <c r="J9" s="4"/>
      <c r="K9" s="4">
        <v>16.563535999999999</v>
      </c>
      <c r="L9" s="4">
        <v>12.1624775</v>
      </c>
      <c r="M9" s="4"/>
      <c r="N9" s="4"/>
      <c r="O9" s="4">
        <v>15.211555499999999</v>
      </c>
      <c r="P9" s="4">
        <v>12.762081</v>
      </c>
      <c r="Q9" s="1" t="s">
        <v>29</v>
      </c>
      <c r="R9" s="1">
        <v>1</v>
      </c>
      <c r="S9"/>
    </row>
    <row r="10" spans="1:19" x14ac:dyDescent="0.25">
      <c r="A10" s="3" t="s">
        <v>358</v>
      </c>
      <c r="B10" s="4">
        <v>0.67462283000000001</v>
      </c>
      <c r="C10" s="4">
        <v>7.305209E-2</v>
      </c>
      <c r="D10" s="4">
        <v>0.95707750000000003</v>
      </c>
      <c r="E10" s="4">
        <v>0.55529790000000001</v>
      </c>
      <c r="F10" s="4">
        <f t="shared" si="0"/>
        <v>0.95707750000000003</v>
      </c>
      <c r="G10" s="4"/>
      <c r="H10" s="4"/>
      <c r="I10" s="4"/>
      <c r="J10" s="4"/>
      <c r="K10" s="4">
        <v>16.496162000000002</v>
      </c>
      <c r="L10" s="4">
        <v>13.308111</v>
      </c>
      <c r="M10" s="4"/>
      <c r="N10" s="4"/>
      <c r="O10" s="4"/>
      <c r="P10" s="4"/>
      <c r="Q10" s="7" t="s">
        <v>359</v>
      </c>
      <c r="R10" s="1">
        <v>0</v>
      </c>
      <c r="S10"/>
    </row>
    <row r="11" spans="1:19" x14ac:dyDescent="0.25">
      <c r="A11" s="3" t="s">
        <v>142</v>
      </c>
      <c r="B11" s="4">
        <v>0.69588680000000003</v>
      </c>
      <c r="C11" s="4">
        <v>0.99756025999999998</v>
      </c>
      <c r="D11" s="4">
        <v>0.41739753000000002</v>
      </c>
      <c r="E11" s="4">
        <v>0.97947079999999997</v>
      </c>
      <c r="F11" s="4">
        <f t="shared" si="0"/>
        <v>0.99756025999999998</v>
      </c>
      <c r="G11" s="4">
        <v>15.41522</v>
      </c>
      <c r="H11" s="4">
        <v>40.720550000000003</v>
      </c>
      <c r="I11" s="4">
        <v>42.978619999999999</v>
      </c>
      <c r="J11" s="4">
        <v>14.854253</v>
      </c>
      <c r="K11" s="4"/>
      <c r="L11" s="4"/>
      <c r="M11" s="4">
        <v>13.012683000000001</v>
      </c>
      <c r="N11" s="4">
        <v>0.14233845000000001</v>
      </c>
      <c r="O11" s="4"/>
      <c r="P11" s="4"/>
      <c r="Q11" s="1" t="s">
        <v>143</v>
      </c>
      <c r="R11" s="1">
        <v>1</v>
      </c>
      <c r="S11"/>
    </row>
    <row r="12" spans="1:19" x14ac:dyDescent="0.25">
      <c r="A12" s="3" t="s">
        <v>306</v>
      </c>
      <c r="B12" s="4">
        <v>0.2014534</v>
      </c>
      <c r="C12" s="4">
        <v>0.7085089</v>
      </c>
      <c r="D12" s="4">
        <v>0.99196552999999998</v>
      </c>
      <c r="E12" s="4">
        <v>0.60195379999999998</v>
      </c>
      <c r="F12" s="4">
        <f t="shared" si="0"/>
        <v>0.99196552999999998</v>
      </c>
      <c r="G12" s="4"/>
      <c r="H12" s="4"/>
      <c r="I12" s="4"/>
      <c r="J12" s="4"/>
      <c r="K12" s="4">
        <v>16.514399999999998</v>
      </c>
      <c r="L12" s="4">
        <v>11.654221</v>
      </c>
      <c r="M12" s="4"/>
      <c r="N12" s="4"/>
      <c r="O12" s="4"/>
      <c r="P12" s="4"/>
      <c r="Q12" s="11" t="s">
        <v>307</v>
      </c>
      <c r="R12" s="1">
        <v>0</v>
      </c>
      <c r="S12"/>
    </row>
    <row r="13" spans="1:19" x14ac:dyDescent="0.25">
      <c r="A13" s="3" t="s">
        <v>240</v>
      </c>
      <c r="B13" s="4">
        <v>0.72115976000000004</v>
      </c>
      <c r="C13" s="4">
        <v>0.98522480000000001</v>
      </c>
      <c r="D13" s="4">
        <v>0.31659283999999999</v>
      </c>
      <c r="E13" s="4">
        <v>0.73684894999999995</v>
      </c>
      <c r="F13" s="4">
        <f t="shared" si="0"/>
        <v>0.98522480000000001</v>
      </c>
      <c r="G13" s="4">
        <v>15.9477005</v>
      </c>
      <c r="H13" s="4">
        <v>37.981969999999997</v>
      </c>
      <c r="I13" s="4">
        <v>38.012196000000003</v>
      </c>
      <c r="J13" s="4">
        <v>15.199808000000001</v>
      </c>
      <c r="K13" s="4"/>
      <c r="L13" s="4"/>
      <c r="M13" s="4"/>
      <c r="N13" s="4"/>
      <c r="O13" s="4"/>
      <c r="P13" s="4"/>
      <c r="Q13" s="1" t="s">
        <v>241</v>
      </c>
      <c r="R13" s="1">
        <v>1</v>
      </c>
      <c r="S13"/>
    </row>
    <row r="14" spans="1:19" x14ac:dyDescent="0.25">
      <c r="A14" s="3" t="s">
        <v>438</v>
      </c>
      <c r="B14" s="4">
        <v>8.3634584999999997E-2</v>
      </c>
      <c r="C14" s="4">
        <v>0.64512809999999998</v>
      </c>
      <c r="D14" s="4">
        <v>0.92269840000000003</v>
      </c>
      <c r="E14" s="4">
        <v>0.96189994000000001</v>
      </c>
      <c r="F14" s="4">
        <f t="shared" si="0"/>
        <v>0.96189994000000001</v>
      </c>
      <c r="G14" s="4"/>
      <c r="H14" s="4"/>
      <c r="I14" s="4"/>
      <c r="J14" s="4"/>
      <c r="K14" s="4"/>
      <c r="L14" s="4"/>
      <c r="M14" s="4">
        <v>11.002186</v>
      </c>
      <c r="N14" s="4">
        <v>0.15044571000000001</v>
      </c>
      <c r="O14" s="4"/>
      <c r="P14" s="4"/>
      <c r="Q14" s="7" t="s">
        <v>439</v>
      </c>
      <c r="R14" s="1">
        <v>1</v>
      </c>
      <c r="S14"/>
    </row>
    <row r="15" spans="1:19" x14ac:dyDescent="0.25">
      <c r="A15" s="3" t="s">
        <v>200</v>
      </c>
      <c r="B15" s="4">
        <v>0.34647664</v>
      </c>
      <c r="C15" s="4">
        <v>0.97316223000000002</v>
      </c>
      <c r="D15" s="4">
        <v>0.48780205999999998</v>
      </c>
      <c r="E15" s="4">
        <v>0.63823640000000004</v>
      </c>
      <c r="F15" s="4">
        <f t="shared" si="0"/>
        <v>0.97316223000000002</v>
      </c>
      <c r="G15" s="4">
        <v>15.738644000000001</v>
      </c>
      <c r="H15" s="4">
        <v>38.304340000000003</v>
      </c>
      <c r="I15" s="4">
        <v>38.536217000000001</v>
      </c>
      <c r="J15" s="4">
        <v>14.144741</v>
      </c>
      <c r="K15" s="4"/>
      <c r="L15" s="4"/>
      <c r="M15" s="4"/>
      <c r="N15" s="4"/>
      <c r="O15" s="4"/>
      <c r="P15" s="4"/>
      <c r="Q15" s="1" t="s">
        <v>201</v>
      </c>
      <c r="R15" s="1">
        <v>0</v>
      </c>
      <c r="S15"/>
    </row>
    <row r="16" spans="1:19" x14ac:dyDescent="0.25">
      <c r="A16" s="3" t="s">
        <v>256</v>
      </c>
      <c r="B16" s="4">
        <v>0.83985379999999998</v>
      </c>
      <c r="C16" s="4">
        <v>0.98741290000000004</v>
      </c>
      <c r="D16" s="4">
        <v>0.41389796000000001</v>
      </c>
      <c r="E16" s="4">
        <v>0.72317799999999999</v>
      </c>
      <c r="F16" s="4">
        <f t="shared" si="0"/>
        <v>0.98741290000000004</v>
      </c>
      <c r="G16" s="4">
        <v>15.933498999999999</v>
      </c>
      <c r="H16" s="4">
        <v>40.665011999999997</v>
      </c>
      <c r="I16" s="4">
        <v>39.598793000000001</v>
      </c>
      <c r="J16" s="4">
        <v>14.964191</v>
      </c>
      <c r="K16" s="4"/>
      <c r="L16" s="4"/>
      <c r="M16" s="4"/>
      <c r="N16" s="4"/>
      <c r="O16" s="4"/>
      <c r="P16" s="4"/>
      <c r="Q16" s="11" t="s">
        <v>257</v>
      </c>
      <c r="R16" s="1">
        <v>0</v>
      </c>
      <c r="S16"/>
    </row>
    <row r="17" spans="1:19" x14ac:dyDescent="0.25">
      <c r="A17" s="3" t="s">
        <v>402</v>
      </c>
      <c r="B17" s="4">
        <v>0.11887075</v>
      </c>
      <c r="C17" s="4">
        <v>1.4826557000000001E-2</v>
      </c>
      <c r="D17" s="4">
        <v>0.99995506000000001</v>
      </c>
      <c r="E17" s="4">
        <v>0.6080295</v>
      </c>
      <c r="F17" s="4">
        <f t="shared" si="0"/>
        <v>0.99995506000000001</v>
      </c>
      <c r="G17" s="4"/>
      <c r="H17" s="4"/>
      <c r="I17" s="4"/>
      <c r="J17" s="4"/>
      <c r="K17" s="4">
        <v>16.096636</v>
      </c>
      <c r="L17" s="4">
        <v>12.682662000000001</v>
      </c>
      <c r="M17" s="4"/>
      <c r="N17" s="4"/>
      <c r="O17" s="4"/>
      <c r="P17" s="4"/>
      <c r="Q17" s="1" t="s">
        <v>403</v>
      </c>
      <c r="R17" s="1">
        <v>1</v>
      </c>
      <c r="S17"/>
    </row>
    <row r="18" spans="1:19" x14ac:dyDescent="0.25">
      <c r="A18" s="3" t="s">
        <v>68</v>
      </c>
      <c r="B18" s="4">
        <v>0.95658679999999996</v>
      </c>
      <c r="C18" s="4">
        <v>9.3332399999999996E-3</v>
      </c>
      <c r="D18" s="4">
        <v>0.63792059999999995</v>
      </c>
      <c r="E18" s="4">
        <v>0.61590785000000003</v>
      </c>
      <c r="F18" s="4">
        <f t="shared" si="0"/>
        <v>0.95658679999999996</v>
      </c>
      <c r="G18" s="4"/>
      <c r="H18" s="4"/>
      <c r="I18" s="4"/>
      <c r="J18" s="4"/>
      <c r="K18" s="4"/>
      <c r="L18" s="4"/>
      <c r="M18" s="4"/>
      <c r="N18" s="4"/>
      <c r="O18" s="4">
        <v>16.650185</v>
      </c>
      <c r="P18" s="4">
        <v>13.291801</v>
      </c>
      <c r="Q18" s="1" t="s">
        <v>69</v>
      </c>
      <c r="R18" s="1">
        <v>1</v>
      </c>
      <c r="S18"/>
    </row>
    <row r="19" spans="1:19" x14ac:dyDescent="0.25">
      <c r="A19" s="3" t="s">
        <v>102</v>
      </c>
      <c r="B19" s="4">
        <v>0.97246779999999999</v>
      </c>
      <c r="C19" s="4">
        <v>1.3203747E-2</v>
      </c>
      <c r="D19" s="4">
        <v>0.99686134000000004</v>
      </c>
      <c r="E19" s="4">
        <v>0.84374594999999997</v>
      </c>
      <c r="F19" s="4">
        <f t="shared" si="0"/>
        <v>0.99686134000000004</v>
      </c>
      <c r="G19" s="4"/>
      <c r="H19" s="4"/>
      <c r="I19" s="4"/>
      <c r="J19" s="4"/>
      <c r="K19" s="4">
        <v>16.279968</v>
      </c>
      <c r="L19" s="4">
        <v>12.603384</v>
      </c>
      <c r="M19" s="4"/>
      <c r="N19" s="4"/>
      <c r="O19" s="4">
        <v>16.543827</v>
      </c>
      <c r="P19" s="4">
        <v>12.887378999999999</v>
      </c>
      <c r="Q19" s="1" t="s">
        <v>103</v>
      </c>
      <c r="R19" s="1">
        <v>1</v>
      </c>
      <c r="S19"/>
    </row>
    <row r="20" spans="1:19" x14ac:dyDescent="0.25">
      <c r="A20" s="3" t="s">
        <v>236</v>
      </c>
      <c r="B20" s="4">
        <v>0.69873300000000005</v>
      </c>
      <c r="C20" s="4">
        <v>0.99135169999999995</v>
      </c>
      <c r="D20" s="4">
        <v>0.11137418</v>
      </c>
      <c r="E20" s="4">
        <v>0.90559270000000003</v>
      </c>
      <c r="F20" s="4">
        <f t="shared" si="0"/>
        <v>0.99135169999999995</v>
      </c>
      <c r="G20" s="4">
        <v>15.703093000000001</v>
      </c>
      <c r="H20" s="4">
        <v>40.378839999999997</v>
      </c>
      <c r="I20" s="4">
        <v>41.095016000000001</v>
      </c>
      <c r="J20" s="4">
        <v>14.417185</v>
      </c>
      <c r="K20" s="4"/>
      <c r="L20" s="4"/>
      <c r="M20" s="4"/>
      <c r="N20" s="4"/>
      <c r="O20" s="4"/>
      <c r="P20" s="4"/>
      <c r="Q20" s="1" t="s">
        <v>237</v>
      </c>
      <c r="R20" s="1">
        <v>0</v>
      </c>
    </row>
    <row r="21" spans="1:19" x14ac:dyDescent="0.25">
      <c r="A21" s="3" t="s">
        <v>450</v>
      </c>
      <c r="B21" s="4">
        <v>0.36815497000000003</v>
      </c>
      <c r="C21" s="4">
        <v>1.3901594E-2</v>
      </c>
      <c r="D21" s="4">
        <v>0.87778723000000003</v>
      </c>
      <c r="E21" s="4">
        <v>0.97312929999999997</v>
      </c>
      <c r="F21" s="4">
        <f t="shared" si="0"/>
        <v>0.97312929999999997</v>
      </c>
      <c r="G21" s="4"/>
      <c r="H21" s="4"/>
      <c r="I21" s="4"/>
      <c r="J21" s="4"/>
      <c r="K21" s="4"/>
      <c r="L21" s="4"/>
      <c r="M21" s="4">
        <v>11.666893</v>
      </c>
      <c r="N21" s="4">
        <v>0.15044571000000001</v>
      </c>
      <c r="O21" s="4"/>
      <c r="P21" s="4"/>
      <c r="Q21" s="1" t="s">
        <v>451</v>
      </c>
      <c r="R21" s="1">
        <v>1</v>
      </c>
      <c r="S21"/>
    </row>
    <row r="22" spans="1:19" x14ac:dyDescent="0.25">
      <c r="A22" s="3" t="s">
        <v>442</v>
      </c>
      <c r="B22" s="4">
        <v>0.36271291999999999</v>
      </c>
      <c r="C22" s="4">
        <v>5.0239305999999997E-2</v>
      </c>
      <c r="D22" s="4">
        <v>0.8667686</v>
      </c>
      <c r="E22" s="4">
        <v>0.98793260000000005</v>
      </c>
      <c r="F22" s="4">
        <f t="shared" si="0"/>
        <v>0.98793260000000005</v>
      </c>
      <c r="G22" s="4"/>
      <c r="H22" s="4"/>
      <c r="I22" s="4"/>
      <c r="J22" s="4"/>
      <c r="K22" s="4"/>
      <c r="L22" s="4"/>
      <c r="M22" s="4">
        <v>11.688959000000001</v>
      </c>
      <c r="N22" s="4">
        <v>0.1448344</v>
      </c>
      <c r="O22" s="4"/>
      <c r="P22" s="4"/>
      <c r="Q22" s="7" t="s">
        <v>443</v>
      </c>
      <c r="R22" s="1">
        <v>1</v>
      </c>
      <c r="S22"/>
    </row>
    <row r="23" spans="1:19" x14ac:dyDescent="0.25">
      <c r="A23" s="3" t="s">
        <v>354</v>
      </c>
      <c r="B23" s="4">
        <v>0.81415313</v>
      </c>
      <c r="C23" s="4">
        <v>0.107832044</v>
      </c>
      <c r="D23" s="4">
        <v>0.98142576000000004</v>
      </c>
      <c r="E23" s="4">
        <v>0.53171056999999999</v>
      </c>
      <c r="F23" s="4">
        <f t="shared" si="0"/>
        <v>0.98142576000000004</v>
      </c>
      <c r="G23" s="4"/>
      <c r="H23" s="4"/>
      <c r="I23" s="4"/>
      <c r="J23" s="4"/>
      <c r="K23" s="4">
        <v>15.096242999999999</v>
      </c>
      <c r="L23" s="4">
        <v>13.079869</v>
      </c>
      <c r="M23" s="4"/>
      <c r="N23" s="4"/>
      <c r="O23" s="4"/>
      <c r="P23" s="4"/>
      <c r="Q23" s="7" t="s">
        <v>355</v>
      </c>
      <c r="R23" s="1">
        <v>1</v>
      </c>
      <c r="S23"/>
    </row>
    <row r="24" spans="1:19" x14ac:dyDescent="0.25">
      <c r="A24" s="3" t="s">
        <v>226</v>
      </c>
      <c r="B24" s="4">
        <v>0.77321030000000002</v>
      </c>
      <c r="C24" s="4">
        <v>0.97441599999999995</v>
      </c>
      <c r="D24" s="4">
        <v>0.58298190000000005</v>
      </c>
      <c r="E24" s="4">
        <v>0.73852825</v>
      </c>
      <c r="F24" s="4">
        <f t="shared" si="0"/>
        <v>0.97441599999999995</v>
      </c>
      <c r="G24" s="4">
        <v>15.420432999999999</v>
      </c>
      <c r="H24" s="4">
        <v>43.208390000000001</v>
      </c>
      <c r="I24" s="4">
        <v>42.563510000000001</v>
      </c>
      <c r="J24" s="4">
        <v>15.140573</v>
      </c>
      <c r="K24" s="4"/>
      <c r="L24" s="4"/>
      <c r="M24" s="4"/>
      <c r="N24" s="4"/>
      <c r="O24" s="4"/>
      <c r="P24" s="4"/>
      <c r="Q24" s="1" t="s">
        <v>227</v>
      </c>
      <c r="R24" s="1">
        <v>0</v>
      </c>
      <c r="S24"/>
    </row>
    <row r="25" spans="1:19" x14ac:dyDescent="0.25">
      <c r="A25" s="3" t="s">
        <v>312</v>
      </c>
      <c r="B25" s="4">
        <v>0.38091520000000001</v>
      </c>
      <c r="C25" s="4">
        <v>4.4430885000000003E-2</v>
      </c>
      <c r="D25" s="4">
        <v>0.96906570000000003</v>
      </c>
      <c r="E25" s="4">
        <v>0.40396616000000002</v>
      </c>
      <c r="F25" s="4">
        <f t="shared" si="0"/>
        <v>0.96906570000000003</v>
      </c>
      <c r="G25" s="4"/>
      <c r="H25" s="4"/>
      <c r="I25" s="4"/>
      <c r="J25" s="4"/>
      <c r="K25" s="4">
        <v>16.413404</v>
      </c>
      <c r="L25" s="4">
        <v>11.786308999999999</v>
      </c>
      <c r="M25" s="4"/>
      <c r="N25" s="4"/>
      <c r="O25" s="4"/>
      <c r="P25" s="4"/>
      <c r="Q25" s="1" t="s">
        <v>313</v>
      </c>
      <c r="R25" s="1">
        <v>1</v>
      </c>
      <c r="S25"/>
    </row>
    <row r="26" spans="1:19" x14ac:dyDescent="0.25">
      <c r="A26" s="3" t="s">
        <v>292</v>
      </c>
      <c r="B26" s="4">
        <v>0.92864970000000002</v>
      </c>
      <c r="C26" s="4">
        <v>0.42335244999999999</v>
      </c>
      <c r="D26" s="4">
        <v>0.99724685999999996</v>
      </c>
      <c r="E26" s="4">
        <v>0.64726459999999997</v>
      </c>
      <c r="F26" s="4">
        <f t="shared" si="0"/>
        <v>0.99724685999999996</v>
      </c>
      <c r="G26" s="4"/>
      <c r="H26" s="4"/>
      <c r="I26" s="4"/>
      <c r="J26" s="4"/>
      <c r="K26" s="4">
        <v>15.788682</v>
      </c>
      <c r="L26" s="4">
        <v>13.903648</v>
      </c>
      <c r="M26" s="4"/>
      <c r="N26" s="4"/>
      <c r="O26" s="4"/>
      <c r="P26" s="4"/>
      <c r="Q26" s="1" t="s">
        <v>293</v>
      </c>
      <c r="R26" s="1">
        <v>0</v>
      </c>
      <c r="S26"/>
    </row>
    <row r="27" spans="1:19" x14ac:dyDescent="0.25">
      <c r="A27" s="3" t="s">
        <v>250</v>
      </c>
      <c r="B27" s="4">
        <v>0.30310500000000001</v>
      </c>
      <c r="C27" s="4">
        <v>0.98345125</v>
      </c>
      <c r="D27" s="4">
        <v>0.4962261</v>
      </c>
      <c r="E27" s="4">
        <v>0.62587300000000001</v>
      </c>
      <c r="F27" s="4">
        <f t="shared" si="0"/>
        <v>0.98345125</v>
      </c>
      <c r="G27" s="4">
        <v>15.949066</v>
      </c>
      <c r="H27" s="4">
        <v>37.721355000000003</v>
      </c>
      <c r="I27" s="4">
        <v>38.982419999999998</v>
      </c>
      <c r="J27" s="4">
        <v>14.047089</v>
      </c>
      <c r="K27" s="4"/>
      <c r="L27" s="4"/>
      <c r="M27" s="4"/>
      <c r="N27" s="4"/>
      <c r="O27" s="4"/>
      <c r="P27" s="4"/>
      <c r="Q27" s="11" t="s">
        <v>251</v>
      </c>
      <c r="R27" s="1">
        <v>0</v>
      </c>
      <c r="S27"/>
    </row>
    <row r="28" spans="1:19" x14ac:dyDescent="0.25">
      <c r="A28" s="3" t="s">
        <v>182</v>
      </c>
      <c r="B28" s="4">
        <v>0.45207354</v>
      </c>
      <c r="C28" s="4">
        <v>0.98454940000000002</v>
      </c>
      <c r="D28" s="4">
        <v>0.63704044000000004</v>
      </c>
      <c r="E28" s="4">
        <v>0.94250889999999998</v>
      </c>
      <c r="F28" s="4">
        <f t="shared" si="0"/>
        <v>0.98454940000000002</v>
      </c>
      <c r="G28" s="4">
        <v>15.512653</v>
      </c>
      <c r="H28" s="4">
        <v>45.252895000000002</v>
      </c>
      <c r="I28" s="4">
        <v>40.029544999999999</v>
      </c>
      <c r="J28" s="4">
        <v>15.784103</v>
      </c>
      <c r="K28" s="4"/>
      <c r="L28" s="4"/>
      <c r="M28" s="4"/>
      <c r="N28" s="4"/>
      <c r="O28" s="4"/>
      <c r="P28" s="4"/>
      <c r="Q28" s="11" t="s">
        <v>183</v>
      </c>
      <c r="R28" s="1">
        <v>0</v>
      </c>
      <c r="S28"/>
    </row>
    <row r="29" spans="1:19" x14ac:dyDescent="0.25">
      <c r="A29" s="3" t="s">
        <v>210</v>
      </c>
      <c r="B29" s="4">
        <v>0.55560916999999999</v>
      </c>
      <c r="C29" s="4">
        <v>0.97383129999999996</v>
      </c>
      <c r="D29" s="4">
        <v>0.37702423000000002</v>
      </c>
      <c r="E29" s="4">
        <v>0.48709960000000002</v>
      </c>
      <c r="F29" s="4">
        <f t="shared" si="0"/>
        <v>0.97383129999999996</v>
      </c>
      <c r="G29" s="4">
        <v>15.523104999999999</v>
      </c>
      <c r="H29" s="4">
        <v>43.200046999999998</v>
      </c>
      <c r="I29" s="4">
        <v>39.352589999999999</v>
      </c>
      <c r="J29" s="4">
        <v>14.754331000000001</v>
      </c>
      <c r="K29" s="4"/>
      <c r="L29" s="4"/>
      <c r="M29" s="4"/>
      <c r="N29" s="4"/>
      <c r="O29" s="4"/>
      <c r="P29" s="4"/>
      <c r="Q29" s="1" t="s">
        <v>211</v>
      </c>
      <c r="R29" s="1">
        <v>0</v>
      </c>
      <c r="S29"/>
    </row>
    <row r="30" spans="1:19" x14ac:dyDescent="0.25">
      <c r="A30" s="3" t="s">
        <v>341</v>
      </c>
      <c r="B30" s="4">
        <v>0.52189680000000005</v>
      </c>
      <c r="C30" s="4">
        <v>0.39018783000000001</v>
      </c>
      <c r="D30" s="4">
        <v>0.97997915999999996</v>
      </c>
      <c r="E30" s="4">
        <v>0.63134170000000001</v>
      </c>
      <c r="F30" s="4">
        <f t="shared" si="0"/>
        <v>0.97997915999999996</v>
      </c>
      <c r="G30" s="4"/>
      <c r="H30" s="4"/>
      <c r="I30" s="4"/>
      <c r="J30" s="4"/>
      <c r="K30" s="4">
        <v>15.472662</v>
      </c>
      <c r="L30" s="4">
        <v>12.718171999999999</v>
      </c>
      <c r="M30" s="4"/>
      <c r="N30" s="4"/>
      <c r="O30" s="4"/>
      <c r="P30" s="4"/>
      <c r="Q30" s="1" t="s">
        <v>342</v>
      </c>
      <c r="R30" s="1">
        <v>1</v>
      </c>
      <c r="S30"/>
    </row>
    <row r="31" spans="1:19" x14ac:dyDescent="0.25">
      <c r="A31" s="3" t="s">
        <v>260</v>
      </c>
      <c r="B31" s="4">
        <v>0.76109599999999999</v>
      </c>
      <c r="C31" s="4">
        <v>0.98485683999999996</v>
      </c>
      <c r="D31" s="4">
        <v>0.62198883000000005</v>
      </c>
      <c r="E31" s="4">
        <v>0.54348344000000004</v>
      </c>
      <c r="F31" s="4">
        <f t="shared" si="0"/>
        <v>0.98485683999999996</v>
      </c>
      <c r="G31" s="4">
        <v>15.949066</v>
      </c>
      <c r="H31" s="4">
        <v>39.074910000000003</v>
      </c>
      <c r="I31" s="4">
        <v>41.713684000000001</v>
      </c>
      <c r="J31" s="4">
        <v>14.300594</v>
      </c>
      <c r="K31" s="4"/>
      <c r="L31" s="4"/>
      <c r="M31" s="4"/>
      <c r="N31" s="4"/>
      <c r="O31" s="4"/>
      <c r="P31" s="4"/>
      <c r="Q31" s="11" t="s">
        <v>261</v>
      </c>
      <c r="R31" s="1">
        <v>0</v>
      </c>
    </row>
    <row r="32" spans="1:19" x14ac:dyDescent="0.25">
      <c r="A32" s="3" t="s">
        <v>270</v>
      </c>
      <c r="B32" s="4">
        <v>0.3417887</v>
      </c>
      <c r="C32" s="4">
        <v>0.12826751</v>
      </c>
      <c r="D32" s="4">
        <v>0.97210205000000005</v>
      </c>
      <c r="E32" s="4">
        <v>0.39616804999999999</v>
      </c>
      <c r="F32" s="4">
        <f t="shared" si="0"/>
        <v>0.97210205000000005</v>
      </c>
      <c r="G32" s="4"/>
      <c r="H32" s="4"/>
      <c r="I32" s="4"/>
      <c r="J32" s="4"/>
      <c r="K32" s="4">
        <v>15.3480215</v>
      </c>
      <c r="L32" s="4">
        <v>13.609289</v>
      </c>
      <c r="M32" s="4"/>
      <c r="N32" s="4"/>
      <c r="O32" s="4"/>
      <c r="P32" s="4"/>
      <c r="Q32" s="1" t="s">
        <v>271</v>
      </c>
      <c r="R32" s="1">
        <v>1</v>
      </c>
      <c r="S32"/>
    </row>
    <row r="33" spans="1:19" x14ac:dyDescent="0.25">
      <c r="A33" s="3" t="s">
        <v>268</v>
      </c>
      <c r="B33" s="4">
        <v>0.73751500000000003</v>
      </c>
      <c r="C33" s="4">
        <v>8.888886E-2</v>
      </c>
      <c r="D33" s="4">
        <v>0.96965235000000005</v>
      </c>
      <c r="E33" s="4">
        <v>0.31846583000000001</v>
      </c>
      <c r="F33" s="4">
        <f t="shared" si="0"/>
        <v>0.96965235000000005</v>
      </c>
      <c r="G33" s="4"/>
      <c r="H33" s="4"/>
      <c r="I33" s="4"/>
      <c r="J33" s="4"/>
      <c r="K33" s="4">
        <v>16.193639999999998</v>
      </c>
      <c r="L33" s="4">
        <v>12.2812</v>
      </c>
      <c r="M33" s="4"/>
      <c r="N33" s="4"/>
      <c r="O33" s="4"/>
      <c r="P33" s="4"/>
      <c r="Q33" s="1" t="s">
        <v>269</v>
      </c>
      <c r="R33" s="1">
        <v>1</v>
      </c>
      <c r="S33"/>
    </row>
    <row r="34" spans="1:19" x14ac:dyDescent="0.25">
      <c r="A34" s="3" t="s">
        <v>272</v>
      </c>
      <c r="B34" s="4">
        <v>0.81319859999999999</v>
      </c>
      <c r="C34" s="4">
        <v>0.15108563</v>
      </c>
      <c r="D34" s="4">
        <v>0.96569276000000004</v>
      </c>
      <c r="E34" s="4">
        <v>0.53086140000000004</v>
      </c>
      <c r="F34" s="4">
        <f t="shared" si="0"/>
        <v>0.96569276000000004</v>
      </c>
      <c r="G34" s="4"/>
      <c r="H34" s="4"/>
      <c r="I34" s="4"/>
      <c r="J34" s="4"/>
      <c r="K34" s="4">
        <v>15.901795999999999</v>
      </c>
      <c r="L34" s="4">
        <v>13.0386715</v>
      </c>
      <c r="M34" s="4"/>
      <c r="N34" s="4"/>
      <c r="O34" s="4"/>
      <c r="P34" s="4"/>
      <c r="Q34" s="1" t="s">
        <v>273</v>
      </c>
      <c r="R34" s="1">
        <v>1</v>
      </c>
      <c r="S34"/>
    </row>
    <row r="35" spans="1:19" x14ac:dyDescent="0.25">
      <c r="A35" s="3" t="s">
        <v>206</v>
      </c>
      <c r="B35" s="4">
        <v>0.49396976999999997</v>
      </c>
      <c r="C35" s="4">
        <v>0.98267680000000002</v>
      </c>
      <c r="D35" s="4">
        <v>0.9654836</v>
      </c>
      <c r="E35" s="4">
        <v>0.62831479999999995</v>
      </c>
      <c r="F35" s="4">
        <f t="shared" si="0"/>
        <v>0.98267680000000002</v>
      </c>
      <c r="G35" s="4">
        <v>15.910696</v>
      </c>
      <c r="H35" s="4">
        <v>42.473618000000002</v>
      </c>
      <c r="I35" s="4">
        <v>44.303738000000003</v>
      </c>
      <c r="J35" s="4">
        <v>13.978999999999999</v>
      </c>
      <c r="K35" s="4">
        <v>15.571415</v>
      </c>
      <c r="L35" s="4">
        <v>12.092209</v>
      </c>
      <c r="M35" s="4"/>
      <c r="N35" s="4"/>
      <c r="O35" s="4"/>
      <c r="P35" s="4"/>
      <c r="Q35" s="1" t="s">
        <v>207</v>
      </c>
      <c r="R35" s="1">
        <v>1</v>
      </c>
      <c r="S35"/>
    </row>
    <row r="36" spans="1:19" x14ac:dyDescent="0.25">
      <c r="A36" s="3" t="s">
        <v>204</v>
      </c>
      <c r="B36" s="4">
        <v>0.39446031999999998</v>
      </c>
      <c r="C36" s="4">
        <v>0.95962939999999997</v>
      </c>
      <c r="D36" s="4">
        <v>0.82777065000000005</v>
      </c>
      <c r="E36" s="4">
        <v>0.34929853999999999</v>
      </c>
      <c r="F36" s="4">
        <f t="shared" si="0"/>
        <v>0.95962939999999997</v>
      </c>
      <c r="G36" s="4">
        <v>15.154112</v>
      </c>
      <c r="H36" s="4">
        <v>40.992527000000003</v>
      </c>
      <c r="I36" s="4">
        <v>42.035007</v>
      </c>
      <c r="J36" s="4">
        <v>15.145269000000001</v>
      </c>
      <c r="K36" s="4"/>
      <c r="L36" s="4"/>
      <c r="M36" s="4"/>
      <c r="N36" s="4"/>
      <c r="O36" s="4"/>
      <c r="P36" s="4"/>
      <c r="Q36" s="1" t="s">
        <v>205</v>
      </c>
      <c r="R36" s="1">
        <v>1</v>
      </c>
    </row>
    <row r="37" spans="1:19" x14ac:dyDescent="0.25">
      <c r="A37" s="3" t="s">
        <v>38</v>
      </c>
      <c r="B37" s="4">
        <v>0.96651845999999997</v>
      </c>
      <c r="C37" s="4">
        <v>8.5919480000000006E-2</v>
      </c>
      <c r="D37" s="4">
        <v>0.64740390000000003</v>
      </c>
      <c r="E37" s="4">
        <v>0.87023110000000004</v>
      </c>
      <c r="F37" s="4">
        <f t="shared" si="0"/>
        <v>0.96651845999999997</v>
      </c>
      <c r="G37" s="4"/>
      <c r="H37" s="4"/>
      <c r="I37" s="4"/>
      <c r="J37" s="4"/>
      <c r="K37" s="4"/>
      <c r="L37" s="4"/>
      <c r="M37" s="4"/>
      <c r="N37" s="4"/>
      <c r="O37" s="4">
        <v>16.858578000000001</v>
      </c>
      <c r="P37" s="4">
        <v>12.411479999999999</v>
      </c>
      <c r="Q37" s="1" t="s">
        <v>39</v>
      </c>
      <c r="R37" s="1">
        <v>0</v>
      </c>
    </row>
    <row r="38" spans="1:19" x14ac:dyDescent="0.25">
      <c r="A38" s="3" t="s">
        <v>329</v>
      </c>
      <c r="B38" s="4">
        <v>0.65796690000000002</v>
      </c>
      <c r="C38" s="4">
        <v>0.75061140000000004</v>
      </c>
      <c r="D38" s="4">
        <v>0.96534014000000001</v>
      </c>
      <c r="E38" s="4">
        <v>0.47941859999999997</v>
      </c>
      <c r="F38" s="4">
        <f t="shared" si="0"/>
        <v>0.96534014000000001</v>
      </c>
      <c r="G38" s="4"/>
      <c r="H38" s="4"/>
      <c r="I38" s="4"/>
      <c r="J38" s="4"/>
      <c r="K38" s="4">
        <v>16.496162000000002</v>
      </c>
      <c r="L38" s="4">
        <v>12.166187000000001</v>
      </c>
      <c r="M38" s="4"/>
      <c r="N38" s="4"/>
      <c r="O38" s="4"/>
      <c r="P38" s="4"/>
      <c r="Q38" s="1" t="s">
        <v>330</v>
      </c>
      <c r="R38" s="1">
        <v>1</v>
      </c>
    </row>
    <row r="39" spans="1:19" x14ac:dyDescent="0.25">
      <c r="A39" s="3" t="s">
        <v>170</v>
      </c>
      <c r="B39" s="4">
        <v>0.61914069999999999</v>
      </c>
      <c r="C39" s="4">
        <v>0.99042374</v>
      </c>
      <c r="D39" s="4">
        <v>0.74027734999999995</v>
      </c>
      <c r="E39" s="4">
        <v>0.61760400000000004</v>
      </c>
      <c r="F39" s="4">
        <f t="shared" si="0"/>
        <v>0.99042374</v>
      </c>
      <c r="G39" s="4">
        <v>15.939207</v>
      </c>
      <c r="H39" s="4">
        <v>37.026510000000002</v>
      </c>
      <c r="I39" s="4">
        <v>41.019965999999997</v>
      </c>
      <c r="J39" s="4">
        <v>15.326453000000001</v>
      </c>
      <c r="K39" s="4"/>
      <c r="L39" s="4"/>
      <c r="M39" s="4"/>
      <c r="N39" s="4"/>
      <c r="O39" s="4"/>
      <c r="P39" s="4"/>
      <c r="Q39" s="11" t="s">
        <v>171</v>
      </c>
      <c r="R39" s="1">
        <v>0</v>
      </c>
      <c r="S39"/>
    </row>
    <row r="40" spans="1:19" x14ac:dyDescent="0.25">
      <c r="A40" s="3" t="s">
        <v>174</v>
      </c>
      <c r="B40" s="4">
        <v>0.43295535000000002</v>
      </c>
      <c r="C40" s="4">
        <v>0.98393359999999996</v>
      </c>
      <c r="D40" s="4">
        <v>0.71295803999999996</v>
      </c>
      <c r="E40" s="4">
        <v>0.92412704000000001</v>
      </c>
      <c r="F40" s="4">
        <f t="shared" si="0"/>
        <v>0.98393359999999996</v>
      </c>
      <c r="G40" s="4">
        <v>15.491237999999999</v>
      </c>
      <c r="H40" s="4">
        <v>45.339294000000002</v>
      </c>
      <c r="I40" s="4">
        <v>39.247706999999998</v>
      </c>
      <c r="J40" s="4">
        <v>15.7821865</v>
      </c>
      <c r="K40" s="4"/>
      <c r="L40" s="4"/>
      <c r="M40" s="4"/>
      <c r="N40" s="4"/>
      <c r="O40" s="4"/>
      <c r="P40" s="4"/>
      <c r="Q40" s="1" t="s">
        <v>175</v>
      </c>
      <c r="R40" s="1">
        <v>1</v>
      </c>
    </row>
    <row r="41" spans="1:19" x14ac:dyDescent="0.25">
      <c r="A41" s="3" t="s">
        <v>386</v>
      </c>
      <c r="B41" s="4">
        <v>0.84637989999999996</v>
      </c>
      <c r="C41" s="4">
        <v>0.5735557</v>
      </c>
      <c r="D41" s="4">
        <v>0.99970954999999995</v>
      </c>
      <c r="E41" s="4">
        <v>0.63937246999999997</v>
      </c>
      <c r="F41" s="4">
        <f t="shared" si="0"/>
        <v>0.99970954999999995</v>
      </c>
      <c r="G41" s="4"/>
      <c r="H41" s="4"/>
      <c r="I41" s="4"/>
      <c r="J41" s="4"/>
      <c r="K41" s="4">
        <v>15.927858000000001</v>
      </c>
      <c r="L41" s="4">
        <v>12.929824999999999</v>
      </c>
      <c r="M41" s="4"/>
      <c r="N41" s="4"/>
      <c r="O41" s="4"/>
      <c r="P41" s="4"/>
      <c r="Q41" s="7" t="s">
        <v>387</v>
      </c>
      <c r="R41" s="1">
        <v>1</v>
      </c>
      <c r="S41"/>
    </row>
    <row r="42" spans="1:19" x14ac:dyDescent="0.25">
      <c r="A42" s="3" t="s">
        <v>290</v>
      </c>
      <c r="B42" s="4">
        <v>0.115151055</v>
      </c>
      <c r="C42" s="4">
        <v>5.4375220000000002E-2</v>
      </c>
      <c r="D42" s="4">
        <v>0.99363860000000004</v>
      </c>
      <c r="E42" s="4">
        <v>0.44761962</v>
      </c>
      <c r="F42" s="4">
        <f t="shared" si="0"/>
        <v>0.99363860000000004</v>
      </c>
      <c r="G42" s="4"/>
      <c r="H42" s="4"/>
      <c r="I42" s="4"/>
      <c r="J42" s="4"/>
      <c r="K42" s="4">
        <v>16.502330000000001</v>
      </c>
      <c r="L42" s="4">
        <v>11.930645</v>
      </c>
      <c r="M42" s="4"/>
      <c r="N42" s="4"/>
      <c r="O42" s="4"/>
      <c r="P42" s="4"/>
      <c r="Q42" s="1" t="s">
        <v>291</v>
      </c>
      <c r="R42" s="1">
        <v>1</v>
      </c>
      <c r="S42"/>
    </row>
    <row r="43" spans="1:19" x14ac:dyDescent="0.25">
      <c r="A43" s="3" t="s">
        <v>120</v>
      </c>
      <c r="B43" s="4">
        <v>0.62993200000000005</v>
      </c>
      <c r="C43" s="4">
        <v>0.96113824999999997</v>
      </c>
      <c r="D43" s="4">
        <v>0.95764070000000001</v>
      </c>
      <c r="E43" s="4">
        <v>0.35867998000000001</v>
      </c>
      <c r="F43" s="4">
        <f t="shared" si="0"/>
        <v>0.96113824999999997</v>
      </c>
      <c r="G43" s="4">
        <v>15.9207535</v>
      </c>
      <c r="H43" s="4">
        <v>40.9465</v>
      </c>
      <c r="I43" s="4">
        <v>40.879593</v>
      </c>
      <c r="J43" s="4">
        <v>14.349589999999999</v>
      </c>
      <c r="K43" s="4">
        <v>15.577749000000001</v>
      </c>
      <c r="L43" s="4">
        <v>12.729348</v>
      </c>
      <c r="M43" s="4"/>
      <c r="N43" s="4"/>
      <c r="O43" s="4"/>
      <c r="P43" s="4"/>
      <c r="Q43" s="1" t="s">
        <v>121</v>
      </c>
      <c r="R43" s="1">
        <v>1</v>
      </c>
    </row>
    <row r="44" spans="1:19" x14ac:dyDescent="0.25">
      <c r="A44" s="3" t="s">
        <v>406</v>
      </c>
      <c r="B44" s="4">
        <v>0.18854119</v>
      </c>
      <c r="C44" s="4">
        <v>1.3698811E-2</v>
      </c>
      <c r="D44" s="4">
        <v>0.98259454999999996</v>
      </c>
      <c r="E44" s="4">
        <v>0.751467</v>
      </c>
      <c r="F44" s="4">
        <f t="shared" si="0"/>
        <v>0.98259454999999996</v>
      </c>
      <c r="G44" s="4"/>
      <c r="H44" s="4"/>
      <c r="I44" s="4"/>
      <c r="J44" s="4"/>
      <c r="K44" s="4">
        <v>16.192568000000001</v>
      </c>
      <c r="L44" s="4">
        <v>14.441039999999999</v>
      </c>
      <c r="M44" s="4"/>
      <c r="N44" s="4"/>
      <c r="O44" s="4"/>
      <c r="P44" s="4"/>
      <c r="Q44" s="7" t="s">
        <v>407</v>
      </c>
      <c r="R44" s="1">
        <v>1</v>
      </c>
    </row>
    <row r="45" spans="1:19" x14ac:dyDescent="0.25">
      <c r="A45" s="3" t="s">
        <v>134</v>
      </c>
      <c r="B45" s="4">
        <v>0.21521778</v>
      </c>
      <c r="C45" s="4">
        <v>0.99934190000000001</v>
      </c>
      <c r="D45" s="4">
        <v>0.48395129999999997</v>
      </c>
      <c r="E45" s="4">
        <v>0.91497200000000001</v>
      </c>
      <c r="F45" s="4">
        <f t="shared" si="0"/>
        <v>0.99934190000000001</v>
      </c>
      <c r="G45" s="4">
        <v>15.71846</v>
      </c>
      <c r="H45" s="4">
        <v>40.075305999999998</v>
      </c>
      <c r="I45" s="4">
        <v>41.908313999999997</v>
      </c>
      <c r="J45" s="4">
        <v>15.593090999999999</v>
      </c>
      <c r="K45" s="4"/>
      <c r="L45" s="4"/>
      <c r="M45" s="4"/>
      <c r="N45" s="4"/>
      <c r="O45" s="4"/>
      <c r="P45" s="4"/>
      <c r="Q45" s="1" t="s">
        <v>135</v>
      </c>
      <c r="R45" s="1">
        <v>1</v>
      </c>
    </row>
    <row r="46" spans="1:19" x14ac:dyDescent="0.25">
      <c r="A46" s="3" t="s">
        <v>62</v>
      </c>
      <c r="B46" s="4">
        <v>0.99435810000000002</v>
      </c>
      <c r="C46" s="4">
        <v>5.3809985999999998E-6</v>
      </c>
      <c r="D46" s="4">
        <v>0.96826909999999999</v>
      </c>
      <c r="E46" s="4">
        <v>0.73443245999999995</v>
      </c>
      <c r="F46" s="4">
        <f t="shared" si="0"/>
        <v>0.99435810000000002</v>
      </c>
      <c r="G46" s="4"/>
      <c r="H46" s="4"/>
      <c r="I46" s="4"/>
      <c r="J46" s="4"/>
      <c r="K46" s="4">
        <v>16.122107</v>
      </c>
      <c r="L46" s="4">
        <v>14.772116</v>
      </c>
      <c r="M46" s="4"/>
      <c r="N46" s="4"/>
      <c r="O46" s="4">
        <v>16.112606</v>
      </c>
      <c r="P46" s="4">
        <v>13.5143585</v>
      </c>
      <c r="Q46" s="1" t="s">
        <v>63</v>
      </c>
      <c r="R46" s="1">
        <v>0</v>
      </c>
      <c r="S46"/>
    </row>
    <row r="47" spans="1:19" x14ac:dyDescent="0.25">
      <c r="A47" s="3" t="s">
        <v>335</v>
      </c>
      <c r="B47" s="4">
        <v>0.63492923999999995</v>
      </c>
      <c r="C47" s="4">
        <v>0.79616224999999996</v>
      </c>
      <c r="D47" s="4">
        <v>0.97762939999999998</v>
      </c>
      <c r="E47" s="4">
        <v>0.53643450000000004</v>
      </c>
      <c r="F47" s="4">
        <f t="shared" si="0"/>
        <v>0.97762939999999998</v>
      </c>
      <c r="G47" s="4"/>
      <c r="H47" s="4"/>
      <c r="I47" s="4"/>
      <c r="J47" s="4"/>
      <c r="K47" s="4">
        <v>16.100339999999999</v>
      </c>
      <c r="L47" s="4">
        <v>11.689323</v>
      </c>
      <c r="M47" s="4"/>
      <c r="N47" s="4"/>
      <c r="O47" s="4"/>
      <c r="P47" s="4"/>
      <c r="Q47" s="1" t="s">
        <v>336</v>
      </c>
      <c r="R47" s="1">
        <v>1</v>
      </c>
      <c r="S47"/>
    </row>
    <row r="48" spans="1:19" x14ac:dyDescent="0.25">
      <c r="A48" s="3" t="s">
        <v>440</v>
      </c>
      <c r="B48" s="4">
        <v>0.121777594</v>
      </c>
      <c r="C48" s="4">
        <v>8.5265209999999994E-2</v>
      </c>
      <c r="D48" s="4">
        <v>0.87908129999999995</v>
      </c>
      <c r="E48" s="4">
        <v>0.98796797000000003</v>
      </c>
      <c r="F48" s="4">
        <f t="shared" si="0"/>
        <v>0.98796797000000003</v>
      </c>
      <c r="G48" s="4"/>
      <c r="H48" s="4"/>
      <c r="I48" s="4"/>
      <c r="J48" s="4"/>
      <c r="K48" s="4"/>
      <c r="L48" s="4"/>
      <c r="M48" s="4">
        <v>11.6330185</v>
      </c>
      <c r="N48" s="4">
        <v>0.14526465999999999</v>
      </c>
      <c r="O48" s="4"/>
      <c r="P48" s="4"/>
      <c r="Q48" s="7" t="s">
        <v>441</v>
      </c>
      <c r="R48" s="1">
        <v>1</v>
      </c>
      <c r="S48"/>
    </row>
    <row r="49" spans="1:19" x14ac:dyDescent="0.25">
      <c r="A49" s="3" t="s">
        <v>304</v>
      </c>
      <c r="B49" s="4">
        <v>0.24429743000000001</v>
      </c>
      <c r="C49" s="4">
        <v>1.6442136999999999E-2</v>
      </c>
      <c r="D49" s="4">
        <v>0.99897659999999999</v>
      </c>
      <c r="E49" s="4">
        <v>0.65410559999999995</v>
      </c>
      <c r="F49" s="4">
        <f t="shared" si="0"/>
        <v>0.99897659999999999</v>
      </c>
      <c r="G49" s="4"/>
      <c r="H49" s="4"/>
      <c r="I49" s="4"/>
      <c r="J49" s="4"/>
      <c r="K49" s="4">
        <v>15.998034000000001</v>
      </c>
      <c r="L49" s="4">
        <v>11.347365999999999</v>
      </c>
      <c r="M49" s="4"/>
      <c r="N49" s="4"/>
      <c r="O49" s="4"/>
      <c r="P49" s="4"/>
      <c r="Q49" s="1" t="s">
        <v>305</v>
      </c>
      <c r="R49" s="1">
        <v>1</v>
      </c>
      <c r="S49"/>
    </row>
    <row r="50" spans="1:19" x14ac:dyDescent="0.25">
      <c r="A50" s="3" t="s">
        <v>408</v>
      </c>
      <c r="B50" s="4">
        <v>0.64539826</v>
      </c>
      <c r="C50" s="4">
        <v>0.73052393999999998</v>
      </c>
      <c r="D50" s="4">
        <v>0.96691070000000001</v>
      </c>
      <c r="E50" s="4">
        <v>0.85826570000000002</v>
      </c>
      <c r="F50" s="4">
        <f t="shared" si="0"/>
        <v>0.96691070000000001</v>
      </c>
      <c r="G50" s="4"/>
      <c r="H50" s="4"/>
      <c r="I50" s="4"/>
      <c r="J50" s="4"/>
      <c r="K50" s="4">
        <v>15.961413</v>
      </c>
      <c r="L50" s="4">
        <v>13.99051</v>
      </c>
      <c r="M50" s="4"/>
      <c r="N50" s="4"/>
      <c r="O50" s="4"/>
      <c r="P50" s="4"/>
      <c r="Q50" s="1" t="s">
        <v>409</v>
      </c>
      <c r="R50" s="1">
        <v>0</v>
      </c>
      <c r="S50"/>
    </row>
    <row r="51" spans="1:19" x14ac:dyDescent="0.25">
      <c r="A51" s="3" t="s">
        <v>390</v>
      </c>
      <c r="B51" s="4">
        <v>0.82852435000000002</v>
      </c>
      <c r="C51" s="4">
        <v>4.9493680000000002E-5</v>
      </c>
      <c r="D51" s="4">
        <v>0.95187794999999997</v>
      </c>
      <c r="E51" s="4">
        <v>0.82852930000000002</v>
      </c>
      <c r="F51" s="4">
        <f t="shared" si="0"/>
        <v>0.95187794999999997</v>
      </c>
      <c r="G51" s="4"/>
      <c r="H51" s="4"/>
      <c r="I51" s="4"/>
      <c r="J51" s="4"/>
      <c r="K51" s="4">
        <v>16.229990000000001</v>
      </c>
      <c r="L51" s="4">
        <v>12.683218999999999</v>
      </c>
      <c r="M51" s="4"/>
      <c r="N51" s="4"/>
      <c r="O51" s="4"/>
      <c r="P51" s="4"/>
      <c r="Q51" s="1" t="s">
        <v>391</v>
      </c>
      <c r="R51" s="1">
        <v>1</v>
      </c>
      <c r="S51"/>
    </row>
    <row r="52" spans="1:19" x14ac:dyDescent="0.25">
      <c r="A52" s="3" t="s">
        <v>325</v>
      </c>
      <c r="B52" s="4">
        <v>0.59246549999999998</v>
      </c>
      <c r="C52" s="4">
        <v>3.3580560000000002E-2</v>
      </c>
      <c r="D52" s="4">
        <v>0.96166269999999998</v>
      </c>
      <c r="E52" s="4">
        <v>0.54631260000000004</v>
      </c>
      <c r="F52" s="4">
        <f t="shared" si="0"/>
        <v>0.96166269999999998</v>
      </c>
      <c r="G52" s="4"/>
      <c r="H52" s="4"/>
      <c r="I52" s="4"/>
      <c r="J52" s="4"/>
      <c r="K52" s="4">
        <v>16.486792000000001</v>
      </c>
      <c r="L52" s="4">
        <v>11.921001</v>
      </c>
      <c r="M52" s="4"/>
      <c r="N52" s="4"/>
      <c r="O52" s="4"/>
      <c r="P52" s="4"/>
      <c r="Q52" s="7" t="s">
        <v>326</v>
      </c>
      <c r="R52" s="1">
        <v>1</v>
      </c>
      <c r="S52"/>
    </row>
    <row r="53" spans="1:19" x14ac:dyDescent="0.25">
      <c r="A53" s="3" t="s">
        <v>198</v>
      </c>
      <c r="B53" s="4">
        <v>0.50225470000000005</v>
      </c>
      <c r="C53" s="4">
        <v>0.96906519999999996</v>
      </c>
      <c r="D53" s="4">
        <v>0.36148447</v>
      </c>
      <c r="E53" s="4">
        <v>0.59121049999999997</v>
      </c>
      <c r="F53" s="4">
        <f t="shared" si="0"/>
        <v>0.96906519999999996</v>
      </c>
      <c r="G53" s="4">
        <v>15.737466</v>
      </c>
      <c r="H53" s="4">
        <v>45.751925999999997</v>
      </c>
      <c r="I53" s="4">
        <v>41.807926000000002</v>
      </c>
      <c r="J53" s="4">
        <v>14.974493000000001</v>
      </c>
      <c r="K53" s="4"/>
      <c r="L53" s="4"/>
      <c r="M53" s="4"/>
      <c r="N53" s="4"/>
      <c r="O53" s="4"/>
      <c r="P53" s="4"/>
      <c r="Q53" s="1" t="s">
        <v>199</v>
      </c>
      <c r="R53" s="1">
        <v>0</v>
      </c>
      <c r="S53"/>
    </row>
    <row r="54" spans="1:19" x14ac:dyDescent="0.25">
      <c r="A54" s="3" t="s">
        <v>339</v>
      </c>
      <c r="B54" s="4">
        <v>0.70086219999999999</v>
      </c>
      <c r="C54" s="4">
        <v>0.43847027</v>
      </c>
      <c r="D54" s="4">
        <v>0.99067116</v>
      </c>
      <c r="E54" s="4">
        <v>0.83183783</v>
      </c>
      <c r="F54" s="4">
        <f t="shared" si="0"/>
        <v>0.99067116</v>
      </c>
      <c r="G54" s="4"/>
      <c r="H54" s="4"/>
      <c r="I54" s="4"/>
      <c r="J54" s="4"/>
      <c r="K54" s="4">
        <v>16.105888</v>
      </c>
      <c r="L54" s="4">
        <v>12.546643</v>
      </c>
      <c r="M54" s="4"/>
      <c r="N54" s="4"/>
      <c r="O54" s="4"/>
      <c r="P54" s="4"/>
      <c r="Q54" s="7" t="s">
        <v>340</v>
      </c>
      <c r="R54" s="1">
        <v>1</v>
      </c>
    </row>
    <row r="55" spans="1:19" x14ac:dyDescent="0.25">
      <c r="A55" s="3" t="s">
        <v>254</v>
      </c>
      <c r="B55" s="4">
        <v>0.76368389999999997</v>
      </c>
      <c r="C55" s="4">
        <v>0.95833135000000003</v>
      </c>
      <c r="D55" s="4">
        <v>0.52362734</v>
      </c>
      <c r="E55" s="4">
        <v>0.83561105000000002</v>
      </c>
      <c r="F55" s="4">
        <f t="shared" si="0"/>
        <v>0.95833135000000003</v>
      </c>
      <c r="G55" s="4">
        <v>15.926544</v>
      </c>
      <c r="H55" s="4">
        <v>44.490810000000003</v>
      </c>
      <c r="I55" s="4">
        <v>41.328949999999999</v>
      </c>
      <c r="J55" s="4">
        <v>15.195627</v>
      </c>
      <c r="K55" s="4"/>
      <c r="L55" s="4"/>
      <c r="M55" s="4"/>
      <c r="N55" s="4"/>
      <c r="O55" s="4"/>
      <c r="P55" s="4"/>
      <c r="Q55" s="1" t="s">
        <v>255</v>
      </c>
      <c r="R55" s="1">
        <v>1</v>
      </c>
      <c r="S55"/>
    </row>
    <row r="56" spans="1:19" x14ac:dyDescent="0.25">
      <c r="A56" s="3" t="s">
        <v>296</v>
      </c>
      <c r="B56" s="4">
        <v>0.49478464999999999</v>
      </c>
      <c r="C56" s="4">
        <v>0.31308713999999999</v>
      </c>
      <c r="D56" s="4">
        <v>0.97971903999999999</v>
      </c>
      <c r="E56" s="4">
        <v>0.74004479999999995</v>
      </c>
      <c r="F56" s="4">
        <f t="shared" si="0"/>
        <v>0.97971903999999999</v>
      </c>
      <c r="G56" s="4"/>
      <c r="H56" s="4"/>
      <c r="I56" s="4"/>
      <c r="J56" s="4"/>
      <c r="K56" s="4">
        <v>16.152967</v>
      </c>
      <c r="L56" s="4">
        <v>12.382256999999999</v>
      </c>
      <c r="M56" s="4"/>
      <c r="N56" s="4"/>
      <c r="O56" s="4"/>
      <c r="P56" s="4"/>
      <c r="Q56" s="1" t="s">
        <v>297</v>
      </c>
      <c r="R56" s="1">
        <v>1</v>
      </c>
      <c r="S56"/>
    </row>
    <row r="57" spans="1:19" x14ac:dyDescent="0.25">
      <c r="A57" s="3" t="s">
        <v>298</v>
      </c>
      <c r="B57" s="4">
        <v>0.29129577000000001</v>
      </c>
      <c r="C57" s="4">
        <v>0.18083908000000001</v>
      </c>
      <c r="D57" s="4">
        <v>0.96796479999999996</v>
      </c>
      <c r="E57" s="4">
        <v>0.50557613000000001</v>
      </c>
      <c r="F57" s="4">
        <f t="shared" si="0"/>
        <v>0.96796479999999996</v>
      </c>
      <c r="G57" s="4"/>
      <c r="H57" s="4"/>
      <c r="I57" s="4"/>
      <c r="J57" s="4"/>
      <c r="K57" s="4">
        <v>16.424603999999999</v>
      </c>
      <c r="L57" s="4">
        <v>12.9845085</v>
      </c>
      <c r="M57" s="4"/>
      <c r="N57" s="4"/>
      <c r="O57" s="4"/>
      <c r="P57" s="4"/>
      <c r="Q57" s="1" t="s">
        <v>299</v>
      </c>
      <c r="R57" s="1">
        <v>0</v>
      </c>
      <c r="S57"/>
    </row>
    <row r="58" spans="1:19" x14ac:dyDescent="0.25">
      <c r="A58" s="3" t="s">
        <v>434</v>
      </c>
      <c r="B58" s="4">
        <v>9.4469965000000003E-2</v>
      </c>
      <c r="C58" s="4">
        <v>0.8244011</v>
      </c>
      <c r="D58" s="4">
        <v>0.89726870000000003</v>
      </c>
      <c r="E58" s="4">
        <v>0.95665719999999999</v>
      </c>
      <c r="F58" s="4">
        <f t="shared" si="0"/>
        <v>0.95665719999999999</v>
      </c>
      <c r="G58" s="4"/>
      <c r="H58" s="4"/>
      <c r="I58" s="4"/>
      <c r="J58" s="4"/>
      <c r="K58" s="4"/>
      <c r="L58" s="4"/>
      <c r="M58" s="4">
        <v>10.455494</v>
      </c>
      <c r="N58" s="4">
        <v>0.15044571000000001</v>
      </c>
      <c r="O58" s="4"/>
      <c r="P58" s="4"/>
      <c r="Q58" s="7" t="s">
        <v>435</v>
      </c>
      <c r="R58" s="1">
        <v>1</v>
      </c>
      <c r="S58"/>
    </row>
    <row r="59" spans="1:19" x14ac:dyDescent="0.25">
      <c r="A59" s="3" t="s">
        <v>180</v>
      </c>
      <c r="B59" s="4">
        <v>0.53178464999999997</v>
      </c>
      <c r="C59" s="4">
        <v>0.9924269</v>
      </c>
      <c r="D59" s="4">
        <v>0.44703683</v>
      </c>
      <c r="E59" s="4">
        <v>0.53527570000000002</v>
      </c>
      <c r="F59" s="4">
        <f t="shared" si="0"/>
        <v>0.9924269</v>
      </c>
      <c r="G59" s="4">
        <v>15.097346999999999</v>
      </c>
      <c r="H59" s="4">
        <v>39.916289999999996</v>
      </c>
      <c r="I59" s="4">
        <v>40.704402999999999</v>
      </c>
      <c r="J59" s="4">
        <v>14.244493</v>
      </c>
      <c r="K59" s="4"/>
      <c r="L59" s="4"/>
      <c r="M59" s="4"/>
      <c r="N59" s="4"/>
      <c r="O59" s="4"/>
      <c r="P59" s="4"/>
      <c r="Q59" s="1" t="s">
        <v>181</v>
      </c>
      <c r="R59" s="1">
        <v>0</v>
      </c>
    </row>
    <row r="60" spans="1:19" x14ac:dyDescent="0.25">
      <c r="A60" s="3" t="s">
        <v>144</v>
      </c>
      <c r="B60" s="4">
        <v>0.28632447</v>
      </c>
      <c r="C60" s="4">
        <v>0.99440130000000004</v>
      </c>
      <c r="D60" s="4">
        <v>9.9337019999999998E-2</v>
      </c>
      <c r="E60" s="4">
        <v>0.65575384999999997</v>
      </c>
      <c r="F60" s="4">
        <f t="shared" si="0"/>
        <v>0.99440130000000004</v>
      </c>
      <c r="G60" s="4">
        <v>15.915533</v>
      </c>
      <c r="H60" s="4">
        <v>40.082912</v>
      </c>
      <c r="I60" s="4">
        <v>38.974842000000002</v>
      </c>
      <c r="J60" s="4">
        <v>13.811521000000001</v>
      </c>
      <c r="K60" s="4"/>
      <c r="L60" s="4"/>
      <c r="M60" s="4"/>
      <c r="N60" s="4"/>
      <c r="O60" s="4"/>
      <c r="P60" s="4"/>
      <c r="Q60" s="1" t="s">
        <v>145</v>
      </c>
      <c r="R60" s="1">
        <v>1</v>
      </c>
    </row>
    <row r="61" spans="1:19" x14ac:dyDescent="0.25">
      <c r="A61" s="3" t="s">
        <v>242</v>
      </c>
      <c r="B61" s="4">
        <v>0.37167444999999999</v>
      </c>
      <c r="C61" s="4">
        <v>0.98074510000000004</v>
      </c>
      <c r="D61" s="4">
        <v>0.67868494999999995</v>
      </c>
      <c r="E61" s="4">
        <v>0.35168642</v>
      </c>
      <c r="F61" s="4">
        <f t="shared" si="0"/>
        <v>0.98074510000000004</v>
      </c>
      <c r="G61" s="4">
        <v>15.399969</v>
      </c>
      <c r="H61" s="4">
        <v>39.515079999999998</v>
      </c>
      <c r="I61" s="4">
        <v>41.793971999999997</v>
      </c>
      <c r="J61" s="4">
        <v>15.187469999999999</v>
      </c>
      <c r="K61" s="4"/>
      <c r="L61" s="4"/>
      <c r="M61" s="4"/>
      <c r="N61" s="4"/>
      <c r="O61" s="4"/>
      <c r="P61" s="4"/>
      <c r="Q61" s="1" t="s">
        <v>243</v>
      </c>
      <c r="R61" s="1">
        <v>0</v>
      </c>
    </row>
    <row r="62" spans="1:19" x14ac:dyDescent="0.25">
      <c r="A62" s="3" t="s">
        <v>345</v>
      </c>
      <c r="B62" s="4">
        <v>0.60410607000000005</v>
      </c>
      <c r="C62" s="4">
        <v>0.16457202000000001</v>
      </c>
      <c r="D62" s="4">
        <v>0.97555815999999995</v>
      </c>
      <c r="E62" s="4">
        <v>0.77727290000000004</v>
      </c>
      <c r="F62" s="4">
        <f t="shared" si="0"/>
        <v>0.97555815999999995</v>
      </c>
      <c r="G62" s="4"/>
      <c r="H62" s="4"/>
      <c r="I62" s="4"/>
      <c r="J62" s="4"/>
      <c r="K62" s="4">
        <v>15.710017000000001</v>
      </c>
      <c r="L62" s="4">
        <v>13.576276999999999</v>
      </c>
      <c r="M62" s="4"/>
      <c r="N62" s="4"/>
      <c r="O62" s="4"/>
      <c r="P62" s="4"/>
      <c r="Q62" s="9" t="s">
        <v>346</v>
      </c>
      <c r="R62" s="2" t="s">
        <v>347</v>
      </c>
    </row>
    <row r="63" spans="1:19" x14ac:dyDescent="0.25">
      <c r="A63" s="3" t="s">
        <v>350</v>
      </c>
      <c r="B63" s="4">
        <v>0.79944660000000001</v>
      </c>
      <c r="C63" s="4">
        <v>0.9455559</v>
      </c>
      <c r="D63" s="4">
        <v>0.96934324999999999</v>
      </c>
      <c r="E63" s="4">
        <v>0.37215253999999998</v>
      </c>
      <c r="F63" s="4">
        <f t="shared" si="0"/>
        <v>0.96934324999999999</v>
      </c>
      <c r="G63" s="4"/>
      <c r="H63" s="4"/>
      <c r="I63" s="4"/>
      <c r="J63" s="4"/>
      <c r="K63" s="4">
        <v>15.918248</v>
      </c>
      <c r="L63" s="4">
        <v>13.342561</v>
      </c>
      <c r="M63" s="4"/>
      <c r="N63" s="4"/>
      <c r="O63" s="4"/>
      <c r="P63" s="4"/>
      <c r="Q63" s="7" t="s">
        <v>351</v>
      </c>
      <c r="R63" s="1">
        <v>0</v>
      </c>
    </row>
    <row r="64" spans="1:19" x14ac:dyDescent="0.25">
      <c r="A64" s="3" t="s">
        <v>452</v>
      </c>
      <c r="B64" s="4">
        <v>0.15897958000000001</v>
      </c>
      <c r="C64" s="4">
        <v>3.6210590000000001E-2</v>
      </c>
      <c r="D64" s="4">
        <v>0.82519480000000001</v>
      </c>
      <c r="E64" s="4">
        <v>0.98761719999999997</v>
      </c>
      <c r="F64" s="4">
        <f t="shared" si="0"/>
        <v>0.98761719999999997</v>
      </c>
      <c r="G64" s="4"/>
      <c r="H64" s="4"/>
      <c r="I64" s="4"/>
      <c r="J64" s="4"/>
      <c r="K64" s="4"/>
      <c r="L64" s="4"/>
      <c r="M64" s="4">
        <v>11.776775000000001</v>
      </c>
      <c r="N64" s="4">
        <v>0.15132119999999999</v>
      </c>
      <c r="O64" s="4"/>
      <c r="P64" s="4"/>
      <c r="Q64" s="1" t="s">
        <v>453</v>
      </c>
      <c r="R64" s="1">
        <v>1</v>
      </c>
      <c r="S64"/>
    </row>
    <row r="65" spans="1:19" x14ac:dyDescent="0.25">
      <c r="A65" s="3" t="s">
        <v>414</v>
      </c>
      <c r="B65" s="4">
        <v>0.84277683000000003</v>
      </c>
      <c r="C65" s="4">
        <v>1.0758563000000001E-2</v>
      </c>
      <c r="D65" s="4">
        <v>0.99391879999999999</v>
      </c>
      <c r="E65" s="4">
        <v>0.50217959999999995</v>
      </c>
      <c r="F65" s="4">
        <f t="shared" si="0"/>
        <v>0.99391879999999999</v>
      </c>
      <c r="G65" s="4"/>
      <c r="H65" s="4"/>
      <c r="I65" s="4"/>
      <c r="J65" s="4"/>
      <c r="K65" s="4">
        <v>16.496162000000002</v>
      </c>
      <c r="L65" s="4">
        <v>12.737562</v>
      </c>
      <c r="M65" s="4"/>
      <c r="N65" s="4"/>
      <c r="O65" s="4"/>
      <c r="P65" s="4"/>
      <c r="Q65" s="10" t="s">
        <v>415</v>
      </c>
      <c r="R65" s="2" t="s">
        <v>347</v>
      </c>
    </row>
    <row r="66" spans="1:19" x14ac:dyDescent="0.25">
      <c r="A66" s="3" t="s">
        <v>420</v>
      </c>
      <c r="B66" s="4">
        <v>0.14887692</v>
      </c>
      <c r="C66" s="4">
        <v>9.1046669999999996E-2</v>
      </c>
      <c r="D66" s="4">
        <v>0.99251020000000001</v>
      </c>
      <c r="E66" s="4">
        <v>0.50287409999999999</v>
      </c>
      <c r="F66" s="4">
        <f t="shared" ref="F66:F129" si="1">MAX(B66:E66)</f>
        <v>0.99251020000000001</v>
      </c>
      <c r="G66" s="4"/>
      <c r="H66" s="4"/>
      <c r="I66" s="4"/>
      <c r="J66" s="4"/>
      <c r="K66" s="4">
        <v>16.311921999999999</v>
      </c>
      <c r="L66" s="4">
        <v>11.843983</v>
      </c>
      <c r="M66" s="4"/>
      <c r="N66" s="4"/>
      <c r="O66" s="4"/>
      <c r="P66" s="4"/>
      <c r="Q66" s="7" t="s">
        <v>421</v>
      </c>
      <c r="R66" s="2" t="s">
        <v>347</v>
      </c>
    </row>
    <row r="67" spans="1:19" x14ac:dyDescent="0.25">
      <c r="A67" s="3" t="s">
        <v>464</v>
      </c>
      <c r="B67" s="4">
        <v>0.12419552</v>
      </c>
      <c r="C67" s="4">
        <v>7.5156909999999993E-2</v>
      </c>
      <c r="D67" s="4">
        <v>0.88631990000000005</v>
      </c>
      <c r="E67" s="4">
        <v>0.9839521</v>
      </c>
      <c r="F67" s="4">
        <f t="shared" si="1"/>
        <v>0.9839521</v>
      </c>
      <c r="G67" s="4"/>
      <c r="H67" s="4"/>
      <c r="I67" s="4"/>
      <c r="J67" s="4"/>
      <c r="K67" s="4"/>
      <c r="L67" s="4"/>
      <c r="M67" s="4">
        <v>11.569246</v>
      </c>
      <c r="N67" s="4">
        <v>0.15044571000000001</v>
      </c>
      <c r="O67" s="4"/>
      <c r="P67" s="4"/>
      <c r="Q67" s="7" t="s">
        <v>465</v>
      </c>
      <c r="R67" s="1">
        <v>1</v>
      </c>
      <c r="S67"/>
    </row>
    <row r="68" spans="1:19" x14ac:dyDescent="0.25">
      <c r="A68" s="3" t="s">
        <v>222</v>
      </c>
      <c r="B68" s="4">
        <v>0.67867029999999995</v>
      </c>
      <c r="C68" s="4">
        <v>0.98967059999999996</v>
      </c>
      <c r="D68" s="4">
        <v>0.52391319999999997</v>
      </c>
      <c r="E68" s="4">
        <v>0.59587634</v>
      </c>
      <c r="F68" s="4">
        <f t="shared" si="1"/>
        <v>0.98967059999999996</v>
      </c>
      <c r="G68" s="4">
        <v>15.883046999999999</v>
      </c>
      <c r="H68" s="4">
        <v>39.413822000000003</v>
      </c>
      <c r="I68" s="4">
        <v>40.920887</v>
      </c>
      <c r="J68" s="4">
        <v>14.178343</v>
      </c>
      <c r="K68" s="4"/>
      <c r="L68" s="4"/>
      <c r="M68" s="4"/>
      <c r="N68" s="4"/>
      <c r="O68" s="4"/>
      <c r="P68" s="4"/>
      <c r="Q68" s="11" t="s">
        <v>223</v>
      </c>
      <c r="R68" s="1">
        <v>0</v>
      </c>
      <c r="S68"/>
    </row>
    <row r="69" spans="1:19" x14ac:dyDescent="0.25">
      <c r="A69" s="3" t="s">
        <v>392</v>
      </c>
      <c r="B69" s="4">
        <v>0.82247689999999996</v>
      </c>
      <c r="C69" s="4">
        <v>5.1062554000000002E-5</v>
      </c>
      <c r="D69" s="4">
        <v>0.97366549999999996</v>
      </c>
      <c r="E69" s="4">
        <v>0.81879835999999995</v>
      </c>
      <c r="F69" s="4">
        <f t="shared" si="1"/>
        <v>0.97366549999999996</v>
      </c>
      <c r="G69" s="4"/>
      <c r="H69" s="4"/>
      <c r="I69" s="4"/>
      <c r="J69" s="4"/>
      <c r="K69" s="4">
        <v>16.233276</v>
      </c>
      <c r="L69" s="4">
        <v>12.171097</v>
      </c>
      <c r="M69" s="4"/>
      <c r="N69" s="4"/>
      <c r="O69" s="4"/>
      <c r="P69" s="4"/>
      <c r="Q69" s="7" t="s">
        <v>393</v>
      </c>
      <c r="R69" s="1">
        <v>1</v>
      </c>
    </row>
    <row r="70" spans="1:19" x14ac:dyDescent="0.25">
      <c r="A70" s="3" t="s">
        <v>388</v>
      </c>
      <c r="B70" s="4">
        <v>0.90865229999999997</v>
      </c>
      <c r="C70" s="4">
        <v>0.10978236</v>
      </c>
      <c r="D70" s="4">
        <v>0.95062880000000005</v>
      </c>
      <c r="E70" s="4">
        <v>0.51826799999999995</v>
      </c>
      <c r="F70" s="4">
        <f t="shared" si="1"/>
        <v>0.95062880000000005</v>
      </c>
      <c r="G70" s="4"/>
      <c r="H70" s="4"/>
      <c r="I70" s="4"/>
      <c r="J70" s="4"/>
      <c r="K70" s="4">
        <v>16.246984000000001</v>
      </c>
      <c r="L70" s="4">
        <v>12.648873</v>
      </c>
      <c r="M70" s="4"/>
      <c r="N70" s="4"/>
      <c r="O70" s="4"/>
      <c r="P70" s="4"/>
      <c r="Q70" s="7" t="s">
        <v>389</v>
      </c>
      <c r="R70" s="1">
        <v>0</v>
      </c>
    </row>
    <row r="71" spans="1:19" x14ac:dyDescent="0.25">
      <c r="A71" s="3" t="s">
        <v>400</v>
      </c>
      <c r="B71" s="4">
        <v>0.12108165999999999</v>
      </c>
      <c r="C71" s="4">
        <v>0.23917235000000001</v>
      </c>
      <c r="D71" s="4">
        <v>0.9892225</v>
      </c>
      <c r="E71" s="4">
        <v>0.96957784999999996</v>
      </c>
      <c r="F71" s="4">
        <f t="shared" si="1"/>
        <v>0.9892225</v>
      </c>
      <c r="G71" s="4"/>
      <c r="H71" s="4"/>
      <c r="I71" s="4"/>
      <c r="J71" s="4"/>
      <c r="K71" s="4">
        <v>16.394245000000002</v>
      </c>
      <c r="L71" s="4">
        <v>13.792695999999999</v>
      </c>
      <c r="M71" s="4">
        <v>10.707515000000001</v>
      </c>
      <c r="N71" s="4">
        <v>0.14111876000000001</v>
      </c>
      <c r="O71" s="4"/>
      <c r="P71" s="4"/>
      <c r="Q71" s="7" t="s">
        <v>401</v>
      </c>
      <c r="R71" s="1">
        <v>1</v>
      </c>
    </row>
    <row r="72" spans="1:19" x14ac:dyDescent="0.25">
      <c r="A72" s="3" t="s">
        <v>216</v>
      </c>
      <c r="B72" s="4">
        <v>0.30505133000000001</v>
      </c>
      <c r="C72" s="4">
        <v>0.98092513999999997</v>
      </c>
      <c r="D72" s="4">
        <v>0.56420579999999998</v>
      </c>
      <c r="E72" s="4">
        <v>0.59997475</v>
      </c>
      <c r="F72" s="4">
        <f t="shared" si="1"/>
        <v>0.98092513999999997</v>
      </c>
      <c r="G72" s="4">
        <v>14.947039</v>
      </c>
      <c r="H72" s="4">
        <v>34.767215999999998</v>
      </c>
      <c r="I72" s="4">
        <v>38.178753</v>
      </c>
      <c r="J72" s="4">
        <v>13.836760999999999</v>
      </c>
      <c r="K72" s="4"/>
      <c r="L72" s="4"/>
      <c r="M72" s="4"/>
      <c r="N72" s="4"/>
      <c r="O72" s="4"/>
      <c r="P72" s="4"/>
      <c r="Q72" s="1" t="s">
        <v>217</v>
      </c>
      <c r="R72" s="1">
        <v>0</v>
      </c>
    </row>
    <row r="73" spans="1:19" x14ac:dyDescent="0.25">
      <c r="A73" s="3" t="s">
        <v>244</v>
      </c>
      <c r="B73" s="4">
        <v>0.46781593999999999</v>
      </c>
      <c r="C73" s="4">
        <v>0.97038393999999994</v>
      </c>
      <c r="D73" s="4">
        <v>0.96472466000000001</v>
      </c>
      <c r="E73" s="4">
        <v>0.37172761999999998</v>
      </c>
      <c r="F73" s="4">
        <f t="shared" si="1"/>
        <v>0.97038393999999994</v>
      </c>
      <c r="G73" s="4">
        <v>15.867580999999999</v>
      </c>
      <c r="H73" s="4">
        <v>46.804295000000003</v>
      </c>
      <c r="I73" s="4">
        <v>42.430759999999999</v>
      </c>
      <c r="J73" s="4">
        <v>15.614853</v>
      </c>
      <c r="K73" s="4">
        <v>14.866122000000001</v>
      </c>
      <c r="L73" s="4">
        <v>13.364757000000001</v>
      </c>
      <c r="M73" s="4"/>
      <c r="N73" s="4"/>
      <c r="O73" s="4"/>
      <c r="P73" s="4"/>
      <c r="Q73" s="1" t="s">
        <v>245</v>
      </c>
      <c r="R73" s="1">
        <v>0</v>
      </c>
    </row>
    <row r="74" spans="1:19" x14ac:dyDescent="0.25">
      <c r="A74" s="3" t="s">
        <v>212</v>
      </c>
      <c r="B74" s="4">
        <v>0.33845702</v>
      </c>
      <c r="C74" s="4">
        <v>0.97533345000000005</v>
      </c>
      <c r="D74" s="4">
        <v>0.45228279999999998</v>
      </c>
      <c r="E74" s="4">
        <v>0.65951919999999997</v>
      </c>
      <c r="F74" s="4">
        <f t="shared" si="1"/>
        <v>0.97533345000000005</v>
      </c>
      <c r="G74" s="4">
        <v>15.442781999999999</v>
      </c>
      <c r="H74" s="4">
        <v>38.197890000000001</v>
      </c>
      <c r="I74" s="4">
        <v>36.996105</v>
      </c>
      <c r="J74" s="4">
        <v>13.059654</v>
      </c>
      <c r="K74" s="4"/>
      <c r="L74" s="4"/>
      <c r="M74" s="4"/>
      <c r="N74" s="4"/>
      <c r="O74" s="4"/>
      <c r="P74" s="4"/>
      <c r="Q74" s="1" t="s">
        <v>213</v>
      </c>
      <c r="R74" s="1">
        <v>0</v>
      </c>
      <c r="S74"/>
    </row>
    <row r="75" spans="1:19" x14ac:dyDescent="0.25">
      <c r="A75" s="3" t="s">
        <v>46</v>
      </c>
      <c r="B75" s="4">
        <v>0.98797650000000004</v>
      </c>
      <c r="C75" s="4">
        <v>3.8328283999999998E-4</v>
      </c>
      <c r="D75" s="4">
        <v>0.85256960000000004</v>
      </c>
      <c r="E75" s="4">
        <v>0.77629214999999996</v>
      </c>
      <c r="F75" s="4">
        <f t="shared" si="1"/>
        <v>0.98797650000000004</v>
      </c>
      <c r="G75" s="4"/>
      <c r="H75" s="4"/>
      <c r="I75" s="4"/>
      <c r="J75" s="4"/>
      <c r="K75" s="4"/>
      <c r="L75" s="4"/>
      <c r="M75" s="4"/>
      <c r="N75" s="4"/>
      <c r="O75" s="4">
        <v>17.141714</v>
      </c>
      <c r="P75" s="4">
        <v>13.378989000000001</v>
      </c>
      <c r="Q75" s="11" t="s">
        <v>47</v>
      </c>
      <c r="R75" s="1">
        <v>0</v>
      </c>
      <c r="S75"/>
    </row>
    <row r="76" spans="1:19" x14ac:dyDescent="0.25">
      <c r="A76" s="3" t="s">
        <v>364</v>
      </c>
      <c r="B76" s="4">
        <v>0.67894429999999995</v>
      </c>
      <c r="C76" s="4">
        <v>0.38792660000000001</v>
      </c>
      <c r="D76" s="4">
        <v>0.96660066</v>
      </c>
      <c r="E76" s="4">
        <v>0.46979242999999998</v>
      </c>
      <c r="F76" s="4">
        <f t="shared" si="1"/>
        <v>0.96660066</v>
      </c>
      <c r="G76" s="4"/>
      <c r="H76" s="4"/>
      <c r="I76" s="4"/>
      <c r="J76" s="4"/>
      <c r="K76" s="4">
        <v>16.093798</v>
      </c>
      <c r="L76" s="4">
        <v>12.292967000000001</v>
      </c>
      <c r="M76" s="4"/>
      <c r="N76" s="4"/>
      <c r="O76" s="4"/>
      <c r="P76" s="4"/>
      <c r="Q76" s="7" t="s">
        <v>365</v>
      </c>
      <c r="R76" s="1">
        <v>0</v>
      </c>
      <c r="S76"/>
    </row>
    <row r="77" spans="1:19" x14ac:dyDescent="0.25">
      <c r="A77" s="3" t="s">
        <v>280</v>
      </c>
      <c r="B77" s="4">
        <v>0.78686893000000002</v>
      </c>
      <c r="C77" s="4">
        <v>0.72394760000000002</v>
      </c>
      <c r="D77" s="4">
        <v>0.97189890000000001</v>
      </c>
      <c r="E77" s="4">
        <v>0.37860032999999998</v>
      </c>
      <c r="F77" s="4">
        <f t="shared" si="1"/>
        <v>0.97189890000000001</v>
      </c>
      <c r="G77" s="4"/>
      <c r="H77" s="4"/>
      <c r="I77" s="4"/>
      <c r="J77" s="4"/>
      <c r="K77" s="4">
        <v>16.493631000000001</v>
      </c>
      <c r="L77" s="4">
        <v>12.33465</v>
      </c>
      <c r="M77" s="4"/>
      <c r="N77" s="4"/>
      <c r="O77" s="4"/>
      <c r="P77" s="4"/>
      <c r="Q77" s="1" t="s">
        <v>281</v>
      </c>
      <c r="R77" s="1">
        <v>1</v>
      </c>
    </row>
    <row r="78" spans="1:19" x14ac:dyDescent="0.25">
      <c r="A78" s="3" t="s">
        <v>398</v>
      </c>
      <c r="B78" s="4">
        <v>0.2620885</v>
      </c>
      <c r="C78" s="4">
        <v>0.85903394</v>
      </c>
      <c r="D78" s="4">
        <v>0.98476934000000005</v>
      </c>
      <c r="E78" s="4">
        <v>0.75634723999999998</v>
      </c>
      <c r="F78" s="4">
        <f t="shared" si="1"/>
        <v>0.98476934000000005</v>
      </c>
      <c r="G78" s="4"/>
      <c r="H78" s="4"/>
      <c r="I78" s="4"/>
      <c r="J78" s="4"/>
      <c r="K78" s="4">
        <v>16.184338</v>
      </c>
      <c r="L78" s="4">
        <v>13.316729</v>
      </c>
      <c r="M78" s="4"/>
      <c r="N78" s="4"/>
      <c r="O78" s="4"/>
      <c r="P78" s="4"/>
      <c r="Q78" s="7" t="s">
        <v>399</v>
      </c>
      <c r="R78" s="1">
        <v>0</v>
      </c>
    </row>
    <row r="79" spans="1:19" x14ac:dyDescent="0.25">
      <c r="A79" s="3" t="s">
        <v>178</v>
      </c>
      <c r="B79" s="4">
        <v>0.40091953000000002</v>
      </c>
      <c r="C79" s="4">
        <v>0.98447510000000005</v>
      </c>
      <c r="D79" s="4">
        <v>5.8621119999999999E-2</v>
      </c>
      <c r="E79" s="4">
        <v>0.72514296</v>
      </c>
      <c r="F79" s="4">
        <f t="shared" si="1"/>
        <v>0.98447510000000005</v>
      </c>
      <c r="G79" s="4">
        <v>15.72583</v>
      </c>
      <c r="H79" s="4">
        <v>43.272350000000003</v>
      </c>
      <c r="I79" s="4">
        <v>36.115085999999998</v>
      </c>
      <c r="J79" s="4">
        <v>14.149464</v>
      </c>
      <c r="K79" s="4"/>
      <c r="L79" s="4"/>
      <c r="M79" s="4"/>
      <c r="N79" s="4"/>
      <c r="O79" s="4"/>
      <c r="P79" s="4"/>
      <c r="Q79" s="1" t="s">
        <v>179</v>
      </c>
      <c r="R79" s="1">
        <v>1</v>
      </c>
      <c r="S79"/>
    </row>
    <row r="80" spans="1:19" x14ac:dyDescent="0.25">
      <c r="A80" s="3" t="s">
        <v>366</v>
      </c>
      <c r="B80" s="4">
        <v>0.86518899999999999</v>
      </c>
      <c r="C80" s="4">
        <v>9.9204469999999993E-6</v>
      </c>
      <c r="D80" s="4">
        <v>0.96150760000000002</v>
      </c>
      <c r="E80" s="4">
        <v>0.8521396</v>
      </c>
      <c r="F80" s="4">
        <f t="shared" si="1"/>
        <v>0.96150760000000002</v>
      </c>
      <c r="G80" s="4"/>
      <c r="H80" s="4"/>
      <c r="I80" s="4"/>
      <c r="J80" s="4"/>
      <c r="K80" s="4">
        <v>15.7585535</v>
      </c>
      <c r="L80" s="4">
        <v>12.111825</v>
      </c>
      <c r="M80" s="4"/>
      <c r="N80" s="4"/>
      <c r="O80" s="4"/>
      <c r="P80" s="4"/>
      <c r="Q80" s="7" t="s">
        <v>367</v>
      </c>
      <c r="R80" s="1">
        <v>1</v>
      </c>
    </row>
    <row r="81" spans="1:19" x14ac:dyDescent="0.25">
      <c r="A81" s="3" t="s">
        <v>238</v>
      </c>
      <c r="B81" s="4">
        <v>0.37845686000000001</v>
      </c>
      <c r="C81" s="4">
        <v>0.99568330000000005</v>
      </c>
      <c r="D81" s="4">
        <v>7.5685000000000002E-2</v>
      </c>
      <c r="E81" s="4">
        <v>0.74156900000000003</v>
      </c>
      <c r="F81" s="4">
        <f t="shared" si="1"/>
        <v>0.99568330000000005</v>
      </c>
      <c r="G81" s="4">
        <v>15.388832000000001</v>
      </c>
      <c r="H81" s="4">
        <v>39.873800000000003</v>
      </c>
      <c r="I81" s="4">
        <v>38.576309999999999</v>
      </c>
      <c r="J81" s="4">
        <v>13.975854999999999</v>
      </c>
      <c r="K81" s="4"/>
      <c r="L81" s="4"/>
      <c r="M81" s="4"/>
      <c r="N81" s="4"/>
      <c r="O81" s="4"/>
      <c r="P81" s="4"/>
      <c r="Q81" s="1" t="s">
        <v>239</v>
      </c>
      <c r="R81" s="1">
        <v>1</v>
      </c>
      <c r="S81"/>
    </row>
    <row r="82" spans="1:19" x14ac:dyDescent="0.25">
      <c r="A82" s="3" t="s">
        <v>454</v>
      </c>
      <c r="B82" s="4">
        <v>5.6459542000000001E-2</v>
      </c>
      <c r="C82" s="4">
        <v>0.61113059999999997</v>
      </c>
      <c r="D82" s="4">
        <v>0.91126569999999996</v>
      </c>
      <c r="E82" s="4">
        <v>0.96296769999999998</v>
      </c>
      <c r="F82" s="4">
        <f t="shared" si="1"/>
        <v>0.96296769999999998</v>
      </c>
      <c r="G82" s="4"/>
      <c r="H82" s="4"/>
      <c r="I82" s="4"/>
      <c r="J82" s="4"/>
      <c r="K82" s="4"/>
      <c r="L82" s="4"/>
      <c r="M82" s="4">
        <v>10.068701000000001</v>
      </c>
      <c r="N82" s="4">
        <v>0.15044571000000001</v>
      </c>
      <c r="O82" s="4"/>
      <c r="P82" s="4"/>
      <c r="Q82" s="1" t="s">
        <v>455</v>
      </c>
      <c r="R82" s="1">
        <v>1</v>
      </c>
      <c r="S82"/>
    </row>
    <row r="83" spans="1:19" x14ac:dyDescent="0.25">
      <c r="A83" s="3" t="s">
        <v>426</v>
      </c>
      <c r="B83" s="4">
        <v>0.76707446999999995</v>
      </c>
      <c r="C83" s="4">
        <v>1.1856061599999999E-4</v>
      </c>
      <c r="D83" s="4">
        <v>0.96511190000000002</v>
      </c>
      <c r="E83" s="4">
        <v>0.77152399999999999</v>
      </c>
      <c r="F83" s="4">
        <f t="shared" si="1"/>
        <v>0.96511190000000002</v>
      </c>
      <c r="G83" s="4"/>
      <c r="H83" s="4"/>
      <c r="I83" s="4"/>
      <c r="J83" s="4"/>
      <c r="K83" s="4">
        <v>14.940738</v>
      </c>
      <c r="L83" s="4">
        <v>12.077102999999999</v>
      </c>
      <c r="M83" s="4"/>
      <c r="N83" s="4"/>
      <c r="O83" s="4"/>
      <c r="P83" s="4"/>
      <c r="Q83" s="1" t="s">
        <v>427</v>
      </c>
      <c r="R83" s="1">
        <v>1</v>
      </c>
      <c r="S83"/>
    </row>
    <row r="84" spans="1:19" x14ac:dyDescent="0.25">
      <c r="A84" s="3" t="s">
        <v>218</v>
      </c>
      <c r="B84" s="4">
        <v>0.45826214999999998</v>
      </c>
      <c r="C84" s="4">
        <v>0.96166799999999997</v>
      </c>
      <c r="D84" s="4">
        <v>0.50365119999999997</v>
      </c>
      <c r="E84" s="4">
        <v>0.55644035000000003</v>
      </c>
      <c r="F84" s="4">
        <f t="shared" si="1"/>
        <v>0.96166799999999997</v>
      </c>
      <c r="G84" s="4">
        <v>15.937946</v>
      </c>
      <c r="H84" s="4">
        <v>39.302013000000002</v>
      </c>
      <c r="I84" s="4">
        <v>37.246986</v>
      </c>
      <c r="J84" s="4">
        <v>13.958185</v>
      </c>
      <c r="K84" s="4"/>
      <c r="L84" s="4"/>
      <c r="M84" s="4"/>
      <c r="N84" s="4"/>
      <c r="O84" s="4"/>
      <c r="P84" s="4"/>
      <c r="Q84" s="1" t="s">
        <v>219</v>
      </c>
      <c r="R84" s="1">
        <v>0</v>
      </c>
    </row>
    <row r="85" spans="1:19" x14ac:dyDescent="0.25">
      <c r="A85" s="3" t="s">
        <v>288</v>
      </c>
      <c r="B85" s="4">
        <v>0.57691484999999998</v>
      </c>
      <c r="C85" s="4">
        <v>0.73138535000000005</v>
      </c>
      <c r="D85" s="4">
        <v>0.99985299999999999</v>
      </c>
      <c r="E85" s="4">
        <v>0.85270829999999997</v>
      </c>
      <c r="F85" s="4">
        <f t="shared" si="1"/>
        <v>0.99985299999999999</v>
      </c>
      <c r="G85" s="4"/>
      <c r="H85" s="4"/>
      <c r="I85" s="4"/>
      <c r="J85" s="4"/>
      <c r="K85" s="4">
        <v>16.635883</v>
      </c>
      <c r="L85" s="4">
        <v>14.26468</v>
      </c>
      <c r="M85" s="4"/>
      <c r="N85" s="4"/>
      <c r="O85" s="4"/>
      <c r="P85" s="4"/>
      <c r="Q85" s="1" t="s">
        <v>289</v>
      </c>
      <c r="R85" s="1">
        <v>1</v>
      </c>
    </row>
    <row r="86" spans="1:19" x14ac:dyDescent="0.25">
      <c r="A86" s="3" t="s">
        <v>432</v>
      </c>
      <c r="B86" s="4">
        <v>5.2498839999999998E-2</v>
      </c>
      <c r="C86" s="4">
        <v>0.50449794999999997</v>
      </c>
      <c r="D86" s="4">
        <v>0.8620025</v>
      </c>
      <c r="E86" s="4">
        <v>0.96156520000000001</v>
      </c>
      <c r="F86" s="4">
        <f t="shared" si="1"/>
        <v>0.96156520000000001</v>
      </c>
      <c r="G86" s="4"/>
      <c r="H86" s="4"/>
      <c r="I86" s="4"/>
      <c r="J86" s="4"/>
      <c r="K86" s="4"/>
      <c r="L86" s="4"/>
      <c r="M86" s="4">
        <v>10.796431</v>
      </c>
      <c r="N86" s="4">
        <v>0.15044571000000001</v>
      </c>
      <c r="O86" s="4"/>
      <c r="P86" s="4"/>
      <c r="Q86" s="7" t="s">
        <v>433</v>
      </c>
      <c r="R86" s="1">
        <v>1</v>
      </c>
      <c r="S86"/>
    </row>
    <row r="87" spans="1:19" x14ac:dyDescent="0.25">
      <c r="A87" s="3" t="s">
        <v>323</v>
      </c>
      <c r="B87" s="4">
        <v>0.6976367</v>
      </c>
      <c r="C87" s="4">
        <v>0.13115075000000001</v>
      </c>
      <c r="D87" s="4">
        <v>0.96240709999999996</v>
      </c>
      <c r="E87" s="4">
        <v>0.65354984999999999</v>
      </c>
      <c r="F87" s="4">
        <f t="shared" si="1"/>
        <v>0.96240709999999996</v>
      </c>
      <c r="G87" s="4"/>
      <c r="H87" s="4"/>
      <c r="I87" s="4"/>
      <c r="J87" s="4"/>
      <c r="K87" s="4">
        <v>15.908873</v>
      </c>
      <c r="L87" s="4">
        <v>13.617010000000001</v>
      </c>
      <c r="M87" s="4"/>
      <c r="N87" s="4"/>
      <c r="O87" s="4"/>
      <c r="P87" s="4"/>
      <c r="Q87" s="7" t="s">
        <v>324</v>
      </c>
      <c r="R87" s="1">
        <v>1</v>
      </c>
      <c r="S87"/>
    </row>
    <row r="88" spans="1:19" x14ac:dyDescent="0.25">
      <c r="A88" s="3" t="s">
        <v>16</v>
      </c>
      <c r="B88" s="4">
        <v>0.97525793000000005</v>
      </c>
      <c r="C88" s="4">
        <v>0.77004850000000002</v>
      </c>
      <c r="D88" s="4">
        <v>0.99989413999999999</v>
      </c>
      <c r="E88" s="4">
        <v>0.63706059999999998</v>
      </c>
      <c r="F88" s="4">
        <f t="shared" si="1"/>
        <v>0.99989413999999999</v>
      </c>
      <c r="G88" s="4"/>
      <c r="H88" s="4"/>
      <c r="I88" s="4"/>
      <c r="J88" s="4"/>
      <c r="K88" s="4">
        <v>16.498705000000001</v>
      </c>
      <c r="L88" s="4">
        <v>12.422988</v>
      </c>
      <c r="M88" s="4"/>
      <c r="N88" s="4"/>
      <c r="O88" s="4">
        <v>16.025697999999998</v>
      </c>
      <c r="P88" s="4">
        <v>12.385657999999999</v>
      </c>
      <c r="Q88" s="1" t="s">
        <v>17</v>
      </c>
      <c r="R88" s="1">
        <v>1</v>
      </c>
      <c r="S88"/>
    </row>
    <row r="89" spans="1:19" x14ac:dyDescent="0.25">
      <c r="A89" s="3" t="s">
        <v>232</v>
      </c>
      <c r="B89" s="4">
        <v>0.70482540000000005</v>
      </c>
      <c r="C89" s="4">
        <v>0.96674000000000004</v>
      </c>
      <c r="D89" s="4">
        <v>0.52353625999999998</v>
      </c>
      <c r="E89" s="4">
        <v>0.65454935999999997</v>
      </c>
      <c r="F89" s="4">
        <f t="shared" si="1"/>
        <v>0.96674000000000004</v>
      </c>
      <c r="G89" s="4">
        <v>15.847735999999999</v>
      </c>
      <c r="H89" s="4">
        <v>38.724826999999998</v>
      </c>
      <c r="I89" s="4">
        <v>42.351078000000001</v>
      </c>
      <c r="J89" s="4">
        <v>15.434442000000001</v>
      </c>
      <c r="K89" s="4"/>
      <c r="L89" s="4"/>
      <c r="M89" s="4"/>
      <c r="N89" s="4"/>
      <c r="O89" s="4"/>
      <c r="P89" s="4"/>
      <c r="Q89" s="1" t="s">
        <v>233</v>
      </c>
      <c r="R89" s="1">
        <v>1</v>
      </c>
    </row>
    <row r="90" spans="1:19" x14ac:dyDescent="0.25">
      <c r="A90" s="3" t="s">
        <v>316</v>
      </c>
      <c r="B90" s="4">
        <v>0.59178257000000001</v>
      </c>
      <c r="C90" s="4">
        <v>0.64867540000000001</v>
      </c>
      <c r="D90" s="4">
        <v>0.99971193000000003</v>
      </c>
      <c r="E90" s="4">
        <v>0.70716082999999996</v>
      </c>
      <c r="F90" s="4">
        <f t="shared" si="1"/>
        <v>0.99971193000000003</v>
      </c>
      <c r="G90" s="4"/>
      <c r="H90" s="4"/>
      <c r="I90" s="4"/>
      <c r="J90" s="4"/>
      <c r="K90" s="4">
        <v>16.518179</v>
      </c>
      <c r="L90" s="4">
        <v>13.45257</v>
      </c>
      <c r="M90" s="4"/>
      <c r="N90" s="4"/>
      <c r="O90" s="4"/>
      <c r="P90" s="4"/>
      <c r="Q90" s="7" t="s">
        <v>317</v>
      </c>
      <c r="R90" s="1">
        <v>1</v>
      </c>
    </row>
    <row r="91" spans="1:19" x14ac:dyDescent="0.25">
      <c r="A91" s="3" t="s">
        <v>94</v>
      </c>
      <c r="B91" s="4">
        <v>1</v>
      </c>
      <c r="C91" s="4">
        <v>3.6109801999999999E-7</v>
      </c>
      <c r="D91" s="4">
        <v>0.99945086000000005</v>
      </c>
      <c r="E91" s="4">
        <v>0.76113414999999995</v>
      </c>
      <c r="F91" s="4">
        <f t="shared" si="1"/>
        <v>1</v>
      </c>
      <c r="G91" s="4"/>
      <c r="H91" s="4"/>
      <c r="I91" s="4"/>
      <c r="J91" s="4"/>
      <c r="K91" s="4">
        <v>15.417242999999999</v>
      </c>
      <c r="L91" s="4">
        <v>13.7706585</v>
      </c>
      <c r="M91" s="4"/>
      <c r="N91" s="4"/>
      <c r="O91" s="4">
        <v>16.366161000000002</v>
      </c>
      <c r="P91" s="4">
        <v>14.805448999999999</v>
      </c>
      <c r="Q91" s="1" t="s">
        <v>95</v>
      </c>
      <c r="R91" s="1">
        <v>1</v>
      </c>
      <c r="S91"/>
    </row>
    <row r="92" spans="1:19" x14ac:dyDescent="0.25">
      <c r="A92" s="3" t="s">
        <v>462</v>
      </c>
      <c r="B92" s="4">
        <v>0.39223659999999999</v>
      </c>
      <c r="C92" s="4">
        <v>3.5035036999999998E-2</v>
      </c>
      <c r="D92" s="4">
        <v>0.86779799999999996</v>
      </c>
      <c r="E92" s="4">
        <v>0.96748659999999997</v>
      </c>
      <c r="F92" s="4">
        <f t="shared" si="1"/>
        <v>0.96748659999999997</v>
      </c>
      <c r="G92" s="4"/>
      <c r="H92" s="4"/>
      <c r="I92" s="4"/>
      <c r="J92" s="4"/>
      <c r="K92" s="4"/>
      <c r="L92" s="4"/>
      <c r="M92" s="4">
        <v>12.116229000000001</v>
      </c>
      <c r="N92" s="4">
        <v>0.15025063999999999</v>
      </c>
      <c r="O92" s="4"/>
      <c r="P92" s="4"/>
      <c r="Q92" s="7" t="s">
        <v>463</v>
      </c>
      <c r="R92" s="1">
        <v>0</v>
      </c>
    </row>
    <row r="93" spans="1:19" x14ac:dyDescent="0.25">
      <c r="A93" s="3" t="s">
        <v>274</v>
      </c>
      <c r="B93" s="4">
        <v>0.20468162000000001</v>
      </c>
      <c r="C93" s="4">
        <v>3.6386630000000003E-2</v>
      </c>
      <c r="D93" s="4">
        <v>0.99996233000000001</v>
      </c>
      <c r="E93" s="4">
        <v>0.46308490000000002</v>
      </c>
      <c r="F93" s="4">
        <f t="shared" si="1"/>
        <v>0.99996233000000001</v>
      </c>
      <c r="G93" s="4"/>
      <c r="H93" s="4"/>
      <c r="I93" s="4"/>
      <c r="J93" s="4"/>
      <c r="K93" s="4">
        <v>16.496162000000002</v>
      </c>
      <c r="L93" s="4">
        <v>12.981726</v>
      </c>
      <c r="M93" s="4"/>
      <c r="N93" s="4"/>
      <c r="O93" s="4"/>
      <c r="P93" s="4"/>
      <c r="Q93" s="1" t="s">
        <v>275</v>
      </c>
      <c r="R93" s="1">
        <v>1</v>
      </c>
      <c r="S93"/>
    </row>
    <row r="94" spans="1:19" x14ac:dyDescent="0.25">
      <c r="A94" s="3" t="s">
        <v>56</v>
      </c>
      <c r="B94" s="4">
        <v>0.98390454000000005</v>
      </c>
      <c r="C94" s="4">
        <v>0.41501209999999999</v>
      </c>
      <c r="D94" s="4">
        <v>0.56925183999999995</v>
      </c>
      <c r="E94" s="4">
        <v>0.56911750000000005</v>
      </c>
      <c r="F94" s="4">
        <f t="shared" si="1"/>
        <v>0.98390454000000005</v>
      </c>
      <c r="G94" s="4"/>
      <c r="H94" s="4"/>
      <c r="I94" s="4"/>
      <c r="J94" s="4"/>
      <c r="K94" s="4"/>
      <c r="L94" s="4"/>
      <c r="M94" s="4"/>
      <c r="N94" s="4"/>
      <c r="O94" s="4">
        <v>16.579529000000001</v>
      </c>
      <c r="P94" s="4">
        <v>13.587344999999999</v>
      </c>
      <c r="Q94" s="1" t="s">
        <v>57</v>
      </c>
      <c r="R94" s="1">
        <v>1</v>
      </c>
      <c r="S94"/>
    </row>
    <row r="95" spans="1:19" x14ac:dyDescent="0.25">
      <c r="A95" s="3" t="s">
        <v>376</v>
      </c>
      <c r="B95" s="4">
        <v>2.4100603E-3</v>
      </c>
      <c r="C95" s="4">
        <v>4.6744165999999999E-4</v>
      </c>
      <c r="D95" s="4">
        <v>1</v>
      </c>
      <c r="E95" s="4">
        <v>0.93444495999999999</v>
      </c>
      <c r="F95" s="4">
        <f t="shared" si="1"/>
        <v>1</v>
      </c>
      <c r="G95" s="4"/>
      <c r="H95" s="4"/>
      <c r="I95" s="4"/>
      <c r="J95" s="4"/>
      <c r="K95" s="4">
        <v>16.210722000000001</v>
      </c>
      <c r="L95" s="4">
        <v>12.340963</v>
      </c>
      <c r="M95" s="4"/>
      <c r="N95" s="4"/>
      <c r="O95" s="4"/>
      <c r="P95" s="4"/>
      <c r="Q95" s="11" t="s">
        <v>377</v>
      </c>
      <c r="R95" s="1">
        <v>0</v>
      </c>
      <c r="S95"/>
    </row>
    <row r="96" spans="1:19" x14ac:dyDescent="0.25">
      <c r="A96" s="3" t="s">
        <v>370</v>
      </c>
      <c r="B96" s="4">
        <v>0.30175999999999997</v>
      </c>
      <c r="C96" s="4">
        <v>0.22932822</v>
      </c>
      <c r="D96" s="4">
        <v>0.9773425</v>
      </c>
      <c r="E96" s="4">
        <v>0.46585703000000001</v>
      </c>
      <c r="F96" s="4">
        <f t="shared" si="1"/>
        <v>0.9773425</v>
      </c>
      <c r="G96" s="4"/>
      <c r="H96" s="4"/>
      <c r="I96" s="4"/>
      <c r="J96" s="4"/>
      <c r="K96" s="4">
        <v>16.212433000000001</v>
      </c>
      <c r="L96" s="4">
        <v>13.458940500000001</v>
      </c>
      <c r="M96" s="4"/>
      <c r="N96" s="4"/>
      <c r="O96" s="4"/>
      <c r="P96" s="4"/>
      <c r="Q96" s="7" t="s">
        <v>371</v>
      </c>
      <c r="R96" s="1">
        <v>1</v>
      </c>
      <c r="S96"/>
    </row>
    <row r="97" spans="1:19" x14ac:dyDescent="0.25">
      <c r="A97" s="3" t="s">
        <v>224</v>
      </c>
      <c r="B97" s="4">
        <v>0.53183216</v>
      </c>
      <c r="C97" s="4">
        <v>0.95540683999999998</v>
      </c>
      <c r="D97" s="4">
        <v>8.5394250000000005E-2</v>
      </c>
      <c r="E97" s="4">
        <v>0.51018620000000003</v>
      </c>
      <c r="F97" s="4">
        <f t="shared" si="1"/>
        <v>0.95540683999999998</v>
      </c>
      <c r="G97" s="4">
        <v>15.384119</v>
      </c>
      <c r="H97" s="4">
        <v>39.336376000000001</v>
      </c>
      <c r="I97" s="4">
        <v>39.741810000000001</v>
      </c>
      <c r="J97" s="4">
        <v>14.136385000000001</v>
      </c>
      <c r="K97" s="4"/>
      <c r="L97" s="4"/>
      <c r="M97" s="4"/>
      <c r="N97" s="4"/>
      <c r="O97" s="4"/>
      <c r="P97" s="4"/>
      <c r="Q97" s="1" t="s">
        <v>225</v>
      </c>
      <c r="R97" s="1">
        <v>1</v>
      </c>
    </row>
    <row r="98" spans="1:19" x14ac:dyDescent="0.25">
      <c r="A98" s="3" t="s">
        <v>343</v>
      </c>
      <c r="B98" s="4">
        <v>0.87785256</v>
      </c>
      <c r="C98" s="4">
        <v>0.29529032</v>
      </c>
      <c r="D98" s="4">
        <v>0.99657660000000003</v>
      </c>
      <c r="E98" s="4">
        <v>0.79035759999999999</v>
      </c>
      <c r="F98" s="4">
        <f t="shared" si="1"/>
        <v>0.99657660000000003</v>
      </c>
      <c r="G98" s="4"/>
      <c r="H98" s="4"/>
      <c r="I98" s="4"/>
      <c r="J98" s="4"/>
      <c r="K98" s="4">
        <v>15.806228000000001</v>
      </c>
      <c r="L98" s="4">
        <v>11.905756</v>
      </c>
      <c r="M98" s="4"/>
      <c r="N98" s="4"/>
      <c r="O98" s="4"/>
      <c r="P98" s="4"/>
      <c r="Q98" s="7" t="s">
        <v>344</v>
      </c>
      <c r="R98" s="1">
        <v>1</v>
      </c>
    </row>
    <row r="99" spans="1:19" x14ac:dyDescent="0.25">
      <c r="A99" s="3" t="s">
        <v>337</v>
      </c>
      <c r="B99" s="4">
        <v>0.89008370000000003</v>
      </c>
      <c r="C99" s="4">
        <v>0.13156697000000001</v>
      </c>
      <c r="D99" s="4">
        <v>0.97680694000000001</v>
      </c>
      <c r="E99" s="4">
        <v>0.60683929999999997</v>
      </c>
      <c r="F99" s="4">
        <f t="shared" si="1"/>
        <v>0.97680694000000001</v>
      </c>
      <c r="G99" s="4"/>
      <c r="H99" s="4"/>
      <c r="I99" s="4"/>
      <c r="J99" s="4"/>
      <c r="K99" s="4">
        <v>16.496162000000002</v>
      </c>
      <c r="L99" s="4">
        <v>10.431639000000001</v>
      </c>
      <c r="M99" s="4"/>
      <c r="N99" s="4"/>
      <c r="O99" s="4"/>
      <c r="P99" s="4"/>
      <c r="Q99" s="7" t="s">
        <v>338</v>
      </c>
      <c r="R99" s="1">
        <v>1</v>
      </c>
    </row>
    <row r="100" spans="1:19" x14ac:dyDescent="0.25">
      <c r="A100" s="3" t="s">
        <v>460</v>
      </c>
      <c r="B100" s="4">
        <v>5.3154069999999998E-2</v>
      </c>
      <c r="C100" s="4">
        <v>0.19448098999999999</v>
      </c>
      <c r="D100" s="4">
        <v>0.93311303999999995</v>
      </c>
      <c r="E100" s="4">
        <v>0.97955716000000004</v>
      </c>
      <c r="F100" s="4">
        <f t="shared" si="1"/>
        <v>0.97955716000000004</v>
      </c>
      <c r="G100" s="4"/>
      <c r="H100" s="4"/>
      <c r="I100" s="4"/>
      <c r="J100" s="4"/>
      <c r="K100" s="4"/>
      <c r="L100" s="4"/>
      <c r="M100" s="4">
        <v>11.325134</v>
      </c>
      <c r="N100" s="4">
        <v>0.15044571000000001</v>
      </c>
      <c r="O100" s="4"/>
      <c r="P100" s="4"/>
      <c r="Q100" s="1" t="s">
        <v>461</v>
      </c>
      <c r="R100" s="1">
        <v>1</v>
      </c>
    </row>
    <row r="101" spans="1:19" x14ac:dyDescent="0.25">
      <c r="A101" s="3" t="s">
        <v>444</v>
      </c>
      <c r="B101" s="4">
        <v>0.18128401</v>
      </c>
      <c r="C101" s="4">
        <v>0.15099773999999999</v>
      </c>
      <c r="D101" s="4">
        <v>0.85291470000000003</v>
      </c>
      <c r="E101" s="4">
        <v>0.98442810000000003</v>
      </c>
      <c r="F101" s="4">
        <f t="shared" si="1"/>
        <v>0.98442810000000003</v>
      </c>
      <c r="G101" s="4"/>
      <c r="H101" s="4"/>
      <c r="I101" s="4"/>
      <c r="J101" s="4"/>
      <c r="K101" s="4"/>
      <c r="L101" s="4"/>
      <c r="M101" s="4">
        <v>11.6330185</v>
      </c>
      <c r="N101" s="4">
        <v>0.14231199</v>
      </c>
      <c r="O101" s="4"/>
      <c r="P101" s="4"/>
      <c r="Q101" s="7" t="s">
        <v>445</v>
      </c>
      <c r="R101" s="1">
        <v>1</v>
      </c>
    </row>
    <row r="102" spans="1:19" x14ac:dyDescent="0.25">
      <c r="A102" s="3" t="s">
        <v>436</v>
      </c>
      <c r="B102" s="4">
        <v>0.10222551000000001</v>
      </c>
      <c r="C102" s="4">
        <v>5.8850420000000001E-2</v>
      </c>
      <c r="D102" s="4">
        <v>0.87304250000000005</v>
      </c>
      <c r="E102" s="4">
        <v>0.98442810000000003</v>
      </c>
      <c r="F102" s="4">
        <f t="shared" si="1"/>
        <v>0.98442810000000003</v>
      </c>
      <c r="G102" s="4"/>
      <c r="H102" s="4"/>
      <c r="I102" s="4"/>
      <c r="J102" s="4"/>
      <c r="K102" s="4"/>
      <c r="L102" s="4"/>
      <c r="M102" s="4">
        <v>10.752371</v>
      </c>
      <c r="N102" s="4">
        <v>0.15044571000000001</v>
      </c>
      <c r="O102" s="4"/>
      <c r="P102" s="4"/>
      <c r="Q102" s="7" t="s">
        <v>437</v>
      </c>
      <c r="R102" s="1">
        <v>1</v>
      </c>
    </row>
    <row r="103" spans="1:19" x14ac:dyDescent="0.25">
      <c r="A103" s="3" t="s">
        <v>258</v>
      </c>
      <c r="B103" s="4">
        <v>0.55587660000000005</v>
      </c>
      <c r="C103" s="4">
        <v>0.9820373</v>
      </c>
      <c r="D103" s="4">
        <v>0.61330205000000004</v>
      </c>
      <c r="E103" s="4">
        <v>0.91633089999999995</v>
      </c>
      <c r="F103" s="4">
        <f t="shared" si="1"/>
        <v>0.9820373</v>
      </c>
      <c r="G103" s="4">
        <v>15.949066</v>
      </c>
      <c r="H103" s="4">
        <v>43.392600000000002</v>
      </c>
      <c r="I103" s="4">
        <v>39.961205</v>
      </c>
      <c r="J103" s="4">
        <v>14.717926</v>
      </c>
      <c r="K103" s="4"/>
      <c r="L103" s="4"/>
      <c r="M103" s="4"/>
      <c r="N103" s="4"/>
      <c r="O103" s="4"/>
      <c r="P103" s="4"/>
      <c r="Q103" s="11" t="s">
        <v>259</v>
      </c>
      <c r="R103" s="1">
        <v>0</v>
      </c>
      <c r="S103"/>
    </row>
    <row r="104" spans="1:19" x14ac:dyDescent="0.25">
      <c r="A104" s="3" t="s">
        <v>318</v>
      </c>
      <c r="B104" s="4">
        <v>0.38071529999999998</v>
      </c>
      <c r="C104" s="4">
        <v>0.61863475999999995</v>
      </c>
      <c r="D104" s="4">
        <v>0.97748727000000002</v>
      </c>
      <c r="E104" s="4">
        <v>0.59618515000000005</v>
      </c>
      <c r="F104" s="4">
        <f t="shared" si="1"/>
        <v>0.97748727000000002</v>
      </c>
      <c r="G104" s="4"/>
      <c r="H104" s="4"/>
      <c r="I104" s="4"/>
      <c r="J104" s="4"/>
      <c r="K104" s="4">
        <v>16.487537</v>
      </c>
      <c r="L104" s="4">
        <v>13.257474</v>
      </c>
      <c r="M104" s="4"/>
      <c r="N104" s="4"/>
      <c r="O104" s="4"/>
      <c r="P104" s="4"/>
      <c r="Q104" s="6" t="s">
        <v>319</v>
      </c>
      <c r="R104" s="2" t="s">
        <v>320</v>
      </c>
    </row>
    <row r="105" spans="1:19" x14ac:dyDescent="0.25">
      <c r="A105" s="3" t="s">
        <v>430</v>
      </c>
      <c r="B105" s="4">
        <v>0.59350950000000002</v>
      </c>
      <c r="C105" s="4">
        <v>0.75098799999999999</v>
      </c>
      <c r="D105" s="4">
        <v>0.99611190000000005</v>
      </c>
      <c r="E105" s="4">
        <v>0.74870340000000002</v>
      </c>
      <c r="F105" s="4">
        <f t="shared" si="1"/>
        <v>0.99611190000000005</v>
      </c>
      <c r="G105" s="4"/>
      <c r="H105" s="4"/>
      <c r="I105" s="4"/>
      <c r="J105" s="4"/>
      <c r="K105" s="4">
        <v>16.494654000000001</v>
      </c>
      <c r="L105" s="4">
        <v>11.25834</v>
      </c>
      <c r="M105" s="4"/>
      <c r="N105" s="4"/>
      <c r="O105" s="4"/>
      <c r="P105" s="4"/>
      <c r="Q105" s="1" t="s">
        <v>431</v>
      </c>
      <c r="R105" s="1">
        <v>1</v>
      </c>
    </row>
    <row r="106" spans="1:19" x14ac:dyDescent="0.25">
      <c r="A106" s="3" t="s">
        <v>378</v>
      </c>
      <c r="B106" s="4">
        <v>0.86727684999999999</v>
      </c>
      <c r="C106" s="4">
        <v>2.7691337999999999E-2</v>
      </c>
      <c r="D106" s="4">
        <v>0.98394519999999996</v>
      </c>
      <c r="E106" s="4">
        <v>0.57717850000000004</v>
      </c>
      <c r="F106" s="4">
        <f t="shared" si="1"/>
        <v>0.98394519999999996</v>
      </c>
      <c r="G106" s="4"/>
      <c r="H106" s="4"/>
      <c r="I106" s="4"/>
      <c r="J106" s="4"/>
      <c r="K106" s="4">
        <v>15.901145</v>
      </c>
      <c r="L106" s="4">
        <v>15.370882</v>
      </c>
      <c r="M106" s="4"/>
      <c r="N106" s="4"/>
      <c r="O106" s="4"/>
      <c r="P106" s="4"/>
      <c r="Q106" s="7" t="s">
        <v>379</v>
      </c>
      <c r="R106" s="1">
        <v>1</v>
      </c>
      <c r="S106"/>
    </row>
    <row r="107" spans="1:19" x14ac:dyDescent="0.25">
      <c r="A107" s="3" t="s">
        <v>310</v>
      </c>
      <c r="B107" s="4">
        <v>9.9193519999999993E-2</v>
      </c>
      <c r="C107" s="4">
        <v>6.3324160000000004E-3</v>
      </c>
      <c r="D107" s="4">
        <v>0.99946349999999995</v>
      </c>
      <c r="E107" s="4">
        <v>0.36867365000000002</v>
      </c>
      <c r="F107" s="4">
        <f t="shared" si="1"/>
        <v>0.99946349999999995</v>
      </c>
      <c r="G107" s="4"/>
      <c r="H107" s="4"/>
      <c r="I107" s="4"/>
      <c r="J107" s="4"/>
      <c r="K107" s="4">
        <v>16.496162000000002</v>
      </c>
      <c r="L107" s="4">
        <v>13.121338</v>
      </c>
      <c r="M107" s="4"/>
      <c r="N107" s="4"/>
      <c r="O107" s="4"/>
      <c r="P107" s="4"/>
      <c r="Q107" s="11" t="s">
        <v>311</v>
      </c>
      <c r="R107" s="1">
        <v>0</v>
      </c>
    </row>
    <row r="108" spans="1:19" x14ac:dyDescent="0.25">
      <c r="A108" s="3" t="s">
        <v>416</v>
      </c>
      <c r="B108" s="4">
        <v>0.80007476</v>
      </c>
      <c r="C108" s="4">
        <v>1.2592423E-2</v>
      </c>
      <c r="D108" s="4">
        <v>0.98566600000000004</v>
      </c>
      <c r="E108" s="4">
        <v>0.48458230000000002</v>
      </c>
      <c r="F108" s="4">
        <f t="shared" si="1"/>
        <v>0.98566600000000004</v>
      </c>
      <c r="G108" s="4"/>
      <c r="H108" s="4"/>
      <c r="I108" s="4"/>
      <c r="J108" s="4"/>
      <c r="K108" s="4">
        <v>15.912004</v>
      </c>
      <c r="L108" s="4">
        <v>11.654674999999999</v>
      </c>
      <c r="M108" s="4"/>
      <c r="N108" s="4"/>
      <c r="O108" s="4"/>
      <c r="P108" s="4"/>
      <c r="Q108" s="10" t="s">
        <v>417</v>
      </c>
      <c r="R108" s="1">
        <v>1</v>
      </c>
      <c r="S108"/>
    </row>
    <row r="109" spans="1:19" x14ac:dyDescent="0.25">
      <c r="A109" s="3" t="s">
        <v>374</v>
      </c>
      <c r="B109" s="4">
        <v>0.76686730000000003</v>
      </c>
      <c r="C109" s="4">
        <v>0.16943076000000001</v>
      </c>
      <c r="D109" s="4">
        <v>0.97844213000000002</v>
      </c>
      <c r="E109" s="4">
        <v>0.48764563</v>
      </c>
      <c r="F109" s="4">
        <f t="shared" si="1"/>
        <v>0.97844213000000002</v>
      </c>
      <c r="G109" s="4"/>
      <c r="H109" s="4"/>
      <c r="I109" s="4"/>
      <c r="J109" s="4"/>
      <c r="K109" s="4">
        <v>16.193149999999999</v>
      </c>
      <c r="L109" s="4">
        <v>13.282813000000001</v>
      </c>
      <c r="M109" s="4"/>
      <c r="N109" s="4"/>
      <c r="O109" s="4"/>
      <c r="P109" s="4"/>
      <c r="Q109" s="11" t="s">
        <v>375</v>
      </c>
      <c r="R109" s="1">
        <v>0</v>
      </c>
      <c r="S109"/>
    </row>
    <row r="110" spans="1:19" x14ac:dyDescent="0.25">
      <c r="A110" s="3" t="s">
        <v>300</v>
      </c>
      <c r="B110" s="4">
        <v>0.56817320000000004</v>
      </c>
      <c r="C110" s="4">
        <v>0.59971909999999995</v>
      </c>
      <c r="D110" s="4">
        <v>0.98152530000000004</v>
      </c>
      <c r="E110" s="4">
        <v>0.37251508</v>
      </c>
      <c r="F110" s="4">
        <f t="shared" si="1"/>
        <v>0.98152530000000004</v>
      </c>
      <c r="G110" s="4"/>
      <c r="H110" s="4"/>
      <c r="I110" s="4"/>
      <c r="J110" s="4"/>
      <c r="K110" s="4">
        <v>16.496162000000002</v>
      </c>
      <c r="L110" s="4">
        <v>12.935738000000001</v>
      </c>
      <c r="M110" s="4"/>
      <c r="N110" s="4"/>
      <c r="O110" s="4"/>
      <c r="P110" s="4"/>
      <c r="Q110" s="11" t="s">
        <v>301</v>
      </c>
      <c r="R110" s="1">
        <v>0</v>
      </c>
    </row>
    <row r="111" spans="1:19" x14ac:dyDescent="0.25">
      <c r="A111" s="3" t="s">
        <v>404</v>
      </c>
      <c r="B111" s="4">
        <v>0.41390765000000002</v>
      </c>
      <c r="C111" s="4">
        <v>0.83508395999999996</v>
      </c>
      <c r="D111" s="4">
        <v>0.95862049999999999</v>
      </c>
      <c r="E111" s="4">
        <v>0.34672096000000002</v>
      </c>
      <c r="F111" s="4">
        <f t="shared" si="1"/>
        <v>0.95862049999999999</v>
      </c>
      <c r="G111" s="4"/>
      <c r="H111" s="4"/>
      <c r="I111" s="4"/>
      <c r="J111" s="4"/>
      <c r="K111" s="4">
        <v>16.569890000000001</v>
      </c>
      <c r="L111" s="4">
        <v>12.258217</v>
      </c>
      <c r="M111" s="4"/>
      <c r="N111" s="4"/>
      <c r="O111" s="4"/>
      <c r="P111" s="4"/>
      <c r="Q111" s="1" t="s">
        <v>405</v>
      </c>
      <c r="R111" s="1">
        <v>0</v>
      </c>
      <c r="S111"/>
    </row>
    <row r="112" spans="1:19" x14ac:dyDescent="0.25">
      <c r="A112" s="3" t="s">
        <v>276</v>
      </c>
      <c r="B112" s="4">
        <v>0.38447886999999997</v>
      </c>
      <c r="C112" s="4">
        <v>0.32124740000000002</v>
      </c>
      <c r="D112" s="4">
        <v>0.96368929999999997</v>
      </c>
      <c r="E112" s="4">
        <v>0.48047974999999998</v>
      </c>
      <c r="F112" s="4">
        <f t="shared" si="1"/>
        <v>0.96368929999999997</v>
      </c>
      <c r="G112" s="4"/>
      <c r="H112" s="4"/>
      <c r="I112" s="4"/>
      <c r="J112" s="4"/>
      <c r="K112" s="4">
        <v>16.398678</v>
      </c>
      <c r="L112" s="4">
        <v>13.062113</v>
      </c>
      <c r="M112" s="4"/>
      <c r="N112" s="4"/>
      <c r="O112" s="4"/>
      <c r="P112" s="4"/>
      <c r="Q112" s="1" t="s">
        <v>277</v>
      </c>
      <c r="R112" s="1">
        <v>1</v>
      </c>
      <c r="S112"/>
    </row>
    <row r="113" spans="1:19" x14ac:dyDescent="0.25">
      <c r="A113" s="3" t="s">
        <v>188</v>
      </c>
      <c r="B113" s="4">
        <v>0.68083249999999995</v>
      </c>
      <c r="C113" s="4">
        <v>0.98504513999999999</v>
      </c>
      <c r="D113" s="4">
        <v>0.93633485000000005</v>
      </c>
      <c r="E113" s="4">
        <v>0.106812954</v>
      </c>
      <c r="F113" s="4">
        <f t="shared" si="1"/>
        <v>0.98504513999999999</v>
      </c>
      <c r="G113" s="4">
        <v>15.76098</v>
      </c>
      <c r="H113" s="4">
        <v>41.168635999999999</v>
      </c>
      <c r="I113" s="4">
        <v>47.235928000000001</v>
      </c>
      <c r="J113" s="4">
        <v>14.011601000000001</v>
      </c>
      <c r="K113" s="4"/>
      <c r="L113" s="4"/>
      <c r="M113" s="4"/>
      <c r="N113" s="4"/>
      <c r="O113" s="4"/>
      <c r="P113" s="4"/>
      <c r="Q113" s="1" t="s">
        <v>189</v>
      </c>
      <c r="R113" s="1">
        <v>1</v>
      </c>
      <c r="S113"/>
    </row>
    <row r="114" spans="1:19" x14ac:dyDescent="0.25">
      <c r="A114" s="3" t="s">
        <v>278</v>
      </c>
      <c r="B114" s="4">
        <v>0.35189670000000001</v>
      </c>
      <c r="C114" s="4">
        <v>0.83945966000000005</v>
      </c>
      <c r="D114" s="4">
        <v>0.99952030000000003</v>
      </c>
      <c r="E114" s="4">
        <v>0.51062834000000001</v>
      </c>
      <c r="F114" s="4">
        <f t="shared" si="1"/>
        <v>0.99952030000000003</v>
      </c>
      <c r="G114" s="4"/>
      <c r="H114" s="4"/>
      <c r="I114" s="4"/>
      <c r="J114" s="4"/>
      <c r="K114" s="4">
        <v>15.749005</v>
      </c>
      <c r="L114" s="4">
        <v>12.519563</v>
      </c>
      <c r="M114" s="4"/>
      <c r="N114" s="4"/>
      <c r="O114" s="4"/>
      <c r="P114" s="4"/>
      <c r="Q114" s="1" t="s">
        <v>279</v>
      </c>
      <c r="R114" s="1">
        <v>1</v>
      </c>
      <c r="S114"/>
    </row>
    <row r="115" spans="1:19" x14ac:dyDescent="0.25">
      <c r="A115" s="3" t="s">
        <v>214</v>
      </c>
      <c r="B115" s="4">
        <v>0.39855205999999999</v>
      </c>
      <c r="C115" s="4">
        <v>0.99288356</v>
      </c>
      <c r="D115" s="4">
        <v>0.13044773000000001</v>
      </c>
      <c r="E115" s="4">
        <v>0.80567239999999996</v>
      </c>
      <c r="F115" s="4">
        <f t="shared" si="1"/>
        <v>0.99288356</v>
      </c>
      <c r="G115" s="4">
        <v>15.947229</v>
      </c>
      <c r="H115" s="4">
        <v>37.886764999999997</v>
      </c>
      <c r="I115" s="4">
        <v>38.261980000000001</v>
      </c>
      <c r="J115" s="4">
        <v>13.737294</v>
      </c>
      <c r="K115" s="4"/>
      <c r="L115" s="4"/>
      <c r="M115" s="4"/>
      <c r="N115" s="4"/>
      <c r="O115" s="4"/>
      <c r="P115" s="4"/>
      <c r="Q115" s="11" t="s">
        <v>215</v>
      </c>
      <c r="R115" s="1">
        <v>0</v>
      </c>
      <c r="S115"/>
    </row>
    <row r="116" spans="1:19" x14ac:dyDescent="0.25">
      <c r="A116" s="3" t="s">
        <v>410</v>
      </c>
      <c r="B116" s="4">
        <v>0.62142869999999995</v>
      </c>
      <c r="C116" s="4">
        <v>0.80182635999999996</v>
      </c>
      <c r="D116" s="4">
        <v>0.99581945000000005</v>
      </c>
      <c r="E116" s="4">
        <v>0.6622941</v>
      </c>
      <c r="F116" s="4">
        <f t="shared" si="1"/>
        <v>0.99581945000000005</v>
      </c>
      <c r="G116" s="4"/>
      <c r="H116" s="4"/>
      <c r="I116" s="4"/>
      <c r="J116" s="4"/>
      <c r="K116" s="4">
        <v>16.469729999999998</v>
      </c>
      <c r="L116" s="4">
        <v>13.723122</v>
      </c>
      <c r="M116" s="4"/>
      <c r="N116" s="4"/>
      <c r="O116" s="4"/>
      <c r="P116" s="4"/>
      <c r="Q116" s="1" t="s">
        <v>411</v>
      </c>
      <c r="R116" s="1">
        <v>1</v>
      </c>
      <c r="S116"/>
    </row>
    <row r="117" spans="1:19" x14ac:dyDescent="0.25">
      <c r="A117" s="3" t="s">
        <v>196</v>
      </c>
      <c r="B117" s="4">
        <v>0.68002490000000004</v>
      </c>
      <c r="C117" s="4">
        <v>0.99306689999999997</v>
      </c>
      <c r="D117" s="4">
        <v>6.7331630000000003E-2</v>
      </c>
      <c r="E117" s="4">
        <v>0.63382225999999997</v>
      </c>
      <c r="F117" s="4">
        <f t="shared" si="1"/>
        <v>0.99306689999999997</v>
      </c>
      <c r="G117" s="4">
        <v>15.937135</v>
      </c>
      <c r="H117" s="4">
        <v>41.86016</v>
      </c>
      <c r="I117" s="4">
        <v>38.615313999999998</v>
      </c>
      <c r="J117" s="4">
        <v>14.399872</v>
      </c>
      <c r="K117" s="4"/>
      <c r="L117" s="4"/>
      <c r="M117" s="4"/>
      <c r="N117" s="4"/>
      <c r="O117" s="4"/>
      <c r="P117" s="4"/>
      <c r="Q117" s="11" t="s">
        <v>197</v>
      </c>
      <c r="R117" s="1">
        <v>0</v>
      </c>
      <c r="S117"/>
    </row>
    <row r="118" spans="1:19" x14ac:dyDescent="0.25">
      <c r="A118" s="3" t="s">
        <v>382</v>
      </c>
      <c r="B118" s="4">
        <v>0.3973814</v>
      </c>
      <c r="C118" s="4">
        <v>0.14979954000000001</v>
      </c>
      <c r="D118" s="4">
        <v>0.97549474000000003</v>
      </c>
      <c r="E118" s="4">
        <v>0.21383696999999999</v>
      </c>
      <c r="F118" s="4">
        <f t="shared" si="1"/>
        <v>0.97549474000000003</v>
      </c>
      <c r="G118" s="4"/>
      <c r="H118" s="4"/>
      <c r="I118" s="4"/>
      <c r="J118" s="4"/>
      <c r="K118" s="4">
        <v>16.179297999999999</v>
      </c>
      <c r="L118" s="4">
        <v>13.507841000000001</v>
      </c>
      <c r="M118" s="4"/>
      <c r="N118" s="4"/>
      <c r="O118" s="4"/>
      <c r="P118" s="4"/>
      <c r="Q118" s="7" t="s">
        <v>383</v>
      </c>
      <c r="R118" s="1">
        <v>0</v>
      </c>
      <c r="S118"/>
    </row>
    <row r="119" spans="1:19" x14ac:dyDescent="0.25">
      <c r="A119" s="3" t="s">
        <v>172</v>
      </c>
      <c r="B119" s="4">
        <v>0.45029785999999999</v>
      </c>
      <c r="C119" s="4">
        <v>0.97540680000000002</v>
      </c>
      <c r="D119" s="4">
        <v>0.55135316000000001</v>
      </c>
      <c r="E119" s="4">
        <v>0.47584863999999999</v>
      </c>
      <c r="F119" s="4">
        <f t="shared" si="1"/>
        <v>0.97540680000000002</v>
      </c>
      <c r="G119" s="4">
        <v>15.907821999999999</v>
      </c>
      <c r="H119" s="4">
        <v>39.078204999999997</v>
      </c>
      <c r="I119" s="4">
        <v>39.910595000000001</v>
      </c>
      <c r="J119" s="4">
        <v>15.001951</v>
      </c>
      <c r="K119" s="4"/>
      <c r="L119" s="4"/>
      <c r="M119" s="4"/>
      <c r="N119" s="4"/>
      <c r="O119" s="4"/>
      <c r="P119" s="4"/>
      <c r="Q119" s="1" t="s">
        <v>173</v>
      </c>
      <c r="R119" s="1">
        <v>0</v>
      </c>
      <c r="S119"/>
    </row>
    <row r="120" spans="1:19" x14ac:dyDescent="0.25">
      <c r="A120" s="3" t="s">
        <v>104</v>
      </c>
      <c r="B120" s="4">
        <v>0.95473284000000003</v>
      </c>
      <c r="C120" s="4">
        <v>0.49081720000000001</v>
      </c>
      <c r="D120" s="4">
        <v>0.98469675000000001</v>
      </c>
      <c r="E120" s="4">
        <v>0.84089493999999998</v>
      </c>
      <c r="F120" s="4">
        <f t="shared" si="1"/>
        <v>0.98469675000000001</v>
      </c>
      <c r="G120" s="4"/>
      <c r="H120" s="4"/>
      <c r="I120" s="4"/>
      <c r="J120" s="4"/>
      <c r="K120" s="4">
        <v>16.165572999999998</v>
      </c>
      <c r="L120" s="4">
        <v>13.175119</v>
      </c>
      <c r="M120" s="4"/>
      <c r="N120" s="4"/>
      <c r="O120" s="4">
        <v>15.918459</v>
      </c>
      <c r="P120" s="4">
        <v>13.002024</v>
      </c>
      <c r="Q120" s="1" t="s">
        <v>105</v>
      </c>
      <c r="R120" s="1">
        <v>1</v>
      </c>
      <c r="S120"/>
    </row>
    <row r="121" spans="1:19" x14ac:dyDescent="0.25">
      <c r="A121" s="3" t="s">
        <v>368</v>
      </c>
      <c r="B121" s="4">
        <v>0.80243600000000004</v>
      </c>
      <c r="C121" s="4">
        <v>0.68797016</v>
      </c>
      <c r="D121" s="4">
        <v>0.98821789999999998</v>
      </c>
      <c r="E121" s="4">
        <v>0.8772993</v>
      </c>
      <c r="F121" s="4">
        <f t="shared" si="1"/>
        <v>0.98821789999999998</v>
      </c>
      <c r="G121" s="4"/>
      <c r="H121" s="4"/>
      <c r="I121" s="4"/>
      <c r="J121" s="4"/>
      <c r="K121" s="4">
        <v>16.56175</v>
      </c>
      <c r="L121" s="4">
        <v>13.357647999999999</v>
      </c>
      <c r="M121" s="4"/>
      <c r="N121" s="4"/>
      <c r="O121" s="4"/>
      <c r="P121" s="4"/>
      <c r="Q121" s="11" t="s">
        <v>369</v>
      </c>
      <c r="R121" s="1">
        <v>0</v>
      </c>
    </row>
    <row r="122" spans="1:19" x14ac:dyDescent="0.25">
      <c r="A122" s="3" t="s">
        <v>164</v>
      </c>
      <c r="B122" s="4">
        <v>0.85146080000000002</v>
      </c>
      <c r="C122" s="4">
        <v>0.99681145000000004</v>
      </c>
      <c r="D122" s="4">
        <v>7.2165179999999995E-2</v>
      </c>
      <c r="E122" s="4">
        <v>0.98934429999999995</v>
      </c>
      <c r="F122" s="4">
        <f t="shared" si="1"/>
        <v>0.99681145000000004</v>
      </c>
      <c r="G122" s="4">
        <v>15.748346</v>
      </c>
      <c r="H122" s="4">
        <v>48.399410000000003</v>
      </c>
      <c r="I122" s="4">
        <v>48.554927999999997</v>
      </c>
      <c r="J122" s="4">
        <v>19.254473000000001</v>
      </c>
      <c r="K122" s="4"/>
      <c r="L122" s="4"/>
      <c r="M122" s="4">
        <v>14.432114</v>
      </c>
      <c r="N122" s="4">
        <v>0.15044571000000001</v>
      </c>
      <c r="O122" s="4"/>
      <c r="P122" s="4"/>
      <c r="Q122" s="1" t="s">
        <v>165</v>
      </c>
      <c r="R122" s="1">
        <v>0</v>
      </c>
    </row>
    <row r="123" spans="1:19" ht="11" customHeight="1" x14ac:dyDescent="0.25">
      <c r="A123" s="3" t="s">
        <v>286</v>
      </c>
      <c r="B123" s="4">
        <v>0.93478422999999999</v>
      </c>
      <c r="C123" s="4">
        <v>0.23917298000000001</v>
      </c>
      <c r="D123" s="4">
        <v>1</v>
      </c>
      <c r="E123" s="4">
        <v>0.81627727000000005</v>
      </c>
      <c r="F123" s="4">
        <f t="shared" si="1"/>
        <v>1</v>
      </c>
      <c r="G123" s="4"/>
      <c r="H123" s="4"/>
      <c r="I123" s="4"/>
      <c r="J123" s="4"/>
      <c r="K123" s="4">
        <v>16.231667000000002</v>
      </c>
      <c r="L123" s="4">
        <v>12.398465</v>
      </c>
      <c r="M123" s="4"/>
      <c r="N123" s="4"/>
      <c r="O123" s="4"/>
      <c r="P123" s="4"/>
      <c r="Q123" s="1" t="s">
        <v>287</v>
      </c>
      <c r="R123" s="1">
        <v>1</v>
      </c>
      <c r="S123"/>
    </row>
    <row r="124" spans="1:19" x14ac:dyDescent="0.25">
      <c r="A124" s="3" t="s">
        <v>282</v>
      </c>
      <c r="B124" s="4">
        <v>0.38069829999999999</v>
      </c>
      <c r="C124" s="4">
        <v>7.8722480000000001E-3</v>
      </c>
      <c r="D124" s="4">
        <v>0.97422874000000004</v>
      </c>
      <c r="E124" s="4">
        <v>0.5013784</v>
      </c>
      <c r="F124" s="4">
        <f t="shared" si="1"/>
        <v>0.97422874000000004</v>
      </c>
      <c r="G124" s="4"/>
      <c r="H124" s="4"/>
      <c r="I124" s="4"/>
      <c r="J124" s="4"/>
      <c r="K124" s="4">
        <v>15.726171000000001</v>
      </c>
      <c r="L124" s="4">
        <v>12.824684</v>
      </c>
      <c r="M124" s="4"/>
      <c r="N124" s="4"/>
      <c r="O124" s="4"/>
      <c r="P124" s="4"/>
      <c r="Q124" s="1" t="s">
        <v>283</v>
      </c>
      <c r="R124" s="1">
        <v>1</v>
      </c>
    </row>
    <row r="125" spans="1:19" x14ac:dyDescent="0.25">
      <c r="A125" s="3" t="s">
        <v>266</v>
      </c>
      <c r="B125" s="4">
        <v>0.1912635</v>
      </c>
      <c r="C125" s="4">
        <v>0.10695267</v>
      </c>
      <c r="D125" s="4">
        <v>0.9500189</v>
      </c>
      <c r="E125" s="4">
        <v>0.5304352</v>
      </c>
      <c r="F125" s="4">
        <f t="shared" si="1"/>
        <v>0.9500189</v>
      </c>
      <c r="G125" s="4"/>
      <c r="H125" s="4"/>
      <c r="I125" s="4"/>
      <c r="J125" s="4"/>
      <c r="K125" s="4">
        <v>15.894002</v>
      </c>
      <c r="L125" s="4">
        <v>14.096598</v>
      </c>
      <c r="M125" s="4"/>
      <c r="N125" s="4"/>
      <c r="O125" s="4"/>
      <c r="P125" s="4"/>
      <c r="Q125" s="1" t="s">
        <v>267</v>
      </c>
      <c r="R125" s="1">
        <v>1</v>
      </c>
      <c r="S125"/>
    </row>
    <row r="126" spans="1:19" x14ac:dyDescent="0.25">
      <c r="A126" s="3" t="s">
        <v>264</v>
      </c>
      <c r="B126" s="4">
        <v>0.67745829999999996</v>
      </c>
      <c r="C126" s="4">
        <v>0.99054410000000004</v>
      </c>
      <c r="D126" s="4">
        <v>0.54126483000000003</v>
      </c>
      <c r="E126" s="4">
        <v>0.84980820000000001</v>
      </c>
      <c r="F126" s="4">
        <f t="shared" si="1"/>
        <v>0.99054410000000004</v>
      </c>
      <c r="G126" s="4">
        <v>15.949066</v>
      </c>
      <c r="H126" s="4">
        <v>39.306150000000002</v>
      </c>
      <c r="I126" s="4">
        <v>41.302562999999999</v>
      </c>
      <c r="J126" s="4">
        <v>14.481659000000001</v>
      </c>
      <c r="K126" s="4"/>
      <c r="L126" s="4"/>
      <c r="M126" s="4"/>
      <c r="N126" s="4"/>
      <c r="O126" s="4"/>
      <c r="P126" s="4"/>
      <c r="Q126" s="1" t="s">
        <v>265</v>
      </c>
      <c r="R126" s="1">
        <v>1</v>
      </c>
    </row>
    <row r="127" spans="1:19" x14ac:dyDescent="0.25">
      <c r="A127" s="3" t="s">
        <v>284</v>
      </c>
      <c r="B127" s="4">
        <v>0.65770835000000005</v>
      </c>
      <c r="C127" s="4">
        <v>0.87586063000000003</v>
      </c>
      <c r="D127" s="4">
        <v>0.99964140000000001</v>
      </c>
      <c r="E127" s="4">
        <v>0.65820365999999997</v>
      </c>
      <c r="F127" s="4">
        <f t="shared" si="1"/>
        <v>0.99964140000000001</v>
      </c>
      <c r="G127" s="4"/>
      <c r="H127" s="4"/>
      <c r="I127" s="4"/>
      <c r="J127" s="4"/>
      <c r="K127" s="4">
        <v>15.517903</v>
      </c>
      <c r="L127" s="4">
        <v>12.356764</v>
      </c>
      <c r="M127" s="4"/>
      <c r="N127" s="4"/>
      <c r="O127" s="4"/>
      <c r="P127" s="4"/>
      <c r="Q127" s="1" t="s">
        <v>285</v>
      </c>
      <c r="R127" s="1">
        <v>1</v>
      </c>
    </row>
    <row r="128" spans="1:19" x14ac:dyDescent="0.25">
      <c r="A128" s="3" t="s">
        <v>74</v>
      </c>
      <c r="B128" s="4">
        <v>0.97489400000000004</v>
      </c>
      <c r="C128" s="4">
        <v>0.12659498</v>
      </c>
      <c r="D128" s="4">
        <v>0.66241187000000001</v>
      </c>
      <c r="E128" s="4">
        <v>0.88558049999999999</v>
      </c>
      <c r="F128" s="4">
        <f t="shared" si="1"/>
        <v>0.97489400000000004</v>
      </c>
      <c r="G128" s="4"/>
      <c r="H128" s="4"/>
      <c r="I128" s="4"/>
      <c r="J128" s="4"/>
      <c r="K128" s="4"/>
      <c r="L128" s="4"/>
      <c r="M128" s="4"/>
      <c r="N128" s="4"/>
      <c r="O128" s="4">
        <v>16.357465999999999</v>
      </c>
      <c r="P128" s="4">
        <v>13.099228</v>
      </c>
      <c r="Q128" s="1" t="s">
        <v>75</v>
      </c>
      <c r="R128" s="1">
        <v>1</v>
      </c>
      <c r="S128"/>
    </row>
    <row r="129" spans="1:19" x14ac:dyDescent="0.25">
      <c r="A129" s="3" t="s">
        <v>446</v>
      </c>
      <c r="B129" s="4">
        <v>0.86195460000000002</v>
      </c>
      <c r="C129" s="4">
        <v>0.92672710000000003</v>
      </c>
      <c r="D129" s="4">
        <v>0.25923289999999999</v>
      </c>
      <c r="E129" s="4">
        <v>0.97657156000000001</v>
      </c>
      <c r="F129" s="4">
        <f t="shared" si="1"/>
        <v>0.97657156000000001</v>
      </c>
      <c r="G129" s="4"/>
      <c r="H129" s="4"/>
      <c r="I129" s="4"/>
      <c r="J129" s="4"/>
      <c r="K129" s="4"/>
      <c r="L129" s="4"/>
      <c r="M129" s="4">
        <v>12.947732</v>
      </c>
      <c r="N129" s="4">
        <v>0.14362606</v>
      </c>
      <c r="O129" s="4"/>
      <c r="P129" s="4"/>
      <c r="Q129" s="1" t="s">
        <v>447</v>
      </c>
      <c r="R129" s="1">
        <v>1</v>
      </c>
    </row>
    <row r="130" spans="1:19" x14ac:dyDescent="0.25">
      <c r="A130" s="3" t="s">
        <v>228</v>
      </c>
      <c r="B130" s="4">
        <v>0.12987387</v>
      </c>
      <c r="C130" s="4">
        <v>0.9759468</v>
      </c>
      <c r="D130" s="4">
        <v>0.77979326000000004</v>
      </c>
      <c r="E130" s="4">
        <v>0.90749469999999999</v>
      </c>
      <c r="F130" s="4">
        <f t="shared" ref="F130:F193" si="2">MAX(B130:E130)</f>
        <v>0.9759468</v>
      </c>
      <c r="G130" s="4">
        <v>15.948689</v>
      </c>
      <c r="H130" s="4">
        <v>43.114193</v>
      </c>
      <c r="I130" s="4">
        <v>41.916446999999998</v>
      </c>
      <c r="J130" s="4">
        <v>16.120567000000001</v>
      </c>
      <c r="K130" s="4"/>
      <c r="L130" s="4"/>
      <c r="M130" s="4"/>
      <c r="N130" s="4"/>
      <c r="O130" s="4"/>
      <c r="P130" s="4"/>
      <c r="Q130" s="1" t="s">
        <v>229</v>
      </c>
      <c r="R130" s="1">
        <v>0</v>
      </c>
    </row>
    <row r="131" spans="1:19" x14ac:dyDescent="0.25">
      <c r="A131" s="3" t="s">
        <v>202</v>
      </c>
      <c r="B131" s="4">
        <v>0.55481959999999997</v>
      </c>
      <c r="C131" s="4">
        <v>0.95229450000000004</v>
      </c>
      <c r="D131" s="4">
        <v>0.68801049999999997</v>
      </c>
      <c r="E131" s="4">
        <v>0.59259987000000003</v>
      </c>
      <c r="F131" s="4">
        <f t="shared" si="2"/>
        <v>0.95229450000000004</v>
      </c>
      <c r="G131" s="4">
        <v>15.949066</v>
      </c>
      <c r="H131" s="4">
        <v>38.165959999999998</v>
      </c>
      <c r="I131" s="4">
        <v>39.121273000000002</v>
      </c>
      <c r="J131" s="4">
        <v>14.361689</v>
      </c>
      <c r="K131" s="4"/>
      <c r="L131" s="4"/>
      <c r="M131" s="4"/>
      <c r="N131" s="4"/>
      <c r="O131" s="4"/>
      <c r="P131" s="4"/>
      <c r="Q131" s="1" t="s">
        <v>203</v>
      </c>
      <c r="R131" s="1">
        <v>0</v>
      </c>
    </row>
    <row r="132" spans="1:19" x14ac:dyDescent="0.25">
      <c r="A132" s="3" t="s">
        <v>208</v>
      </c>
      <c r="B132" s="4">
        <v>0.84495039999999999</v>
      </c>
      <c r="C132" s="4">
        <v>0.96275540000000004</v>
      </c>
      <c r="D132" s="4">
        <v>0.80513847000000005</v>
      </c>
      <c r="E132" s="4">
        <v>0.86853729999999996</v>
      </c>
      <c r="F132" s="4">
        <f t="shared" si="2"/>
        <v>0.96275540000000004</v>
      </c>
      <c r="G132" s="4">
        <v>15.928331999999999</v>
      </c>
      <c r="H132" s="4">
        <v>39.076385000000002</v>
      </c>
      <c r="I132" s="4">
        <v>42.541409999999999</v>
      </c>
      <c r="J132" s="4">
        <v>15.249193</v>
      </c>
      <c r="K132" s="4"/>
      <c r="L132" s="4"/>
      <c r="M132" s="4"/>
      <c r="N132" s="4"/>
      <c r="O132" s="4"/>
      <c r="P132" s="4"/>
      <c r="Q132" s="1" t="s">
        <v>209</v>
      </c>
      <c r="R132" s="1">
        <v>1</v>
      </c>
    </row>
    <row r="133" spans="1:19" x14ac:dyDescent="0.25">
      <c r="A133" s="3" t="s">
        <v>186</v>
      </c>
      <c r="B133" s="4">
        <v>0.75026493999999999</v>
      </c>
      <c r="C133" s="4">
        <v>0.96274890000000002</v>
      </c>
      <c r="D133" s="4">
        <v>0.93333679999999997</v>
      </c>
      <c r="E133" s="4">
        <v>0.59592719999999999</v>
      </c>
      <c r="F133" s="4">
        <f t="shared" si="2"/>
        <v>0.96274890000000002</v>
      </c>
      <c r="G133" s="4">
        <v>15.92334</v>
      </c>
      <c r="H133" s="4">
        <v>40.821820000000002</v>
      </c>
      <c r="I133" s="4">
        <v>43.150880000000001</v>
      </c>
      <c r="J133" s="4">
        <v>14.715522999999999</v>
      </c>
      <c r="K133" s="4"/>
      <c r="L133" s="4"/>
      <c r="M133" s="4"/>
      <c r="N133" s="4"/>
      <c r="O133" s="4"/>
      <c r="P133" s="4"/>
      <c r="Q133" s="1" t="s">
        <v>187</v>
      </c>
      <c r="R133" s="1">
        <v>0</v>
      </c>
    </row>
    <row r="134" spans="1:19" x14ac:dyDescent="0.25">
      <c r="A134" s="3" t="s">
        <v>331</v>
      </c>
      <c r="B134" s="4">
        <v>0.10809346</v>
      </c>
      <c r="C134" s="4">
        <v>0.74373763999999998</v>
      </c>
      <c r="D134" s="4">
        <v>0.97306619999999999</v>
      </c>
      <c r="E134" s="4">
        <v>0.54876409999999998</v>
      </c>
      <c r="F134" s="4">
        <f t="shared" si="2"/>
        <v>0.97306619999999999</v>
      </c>
      <c r="G134" s="4"/>
      <c r="H134" s="4"/>
      <c r="I134" s="4"/>
      <c r="J134" s="4"/>
      <c r="K134" s="4">
        <v>16.630189999999999</v>
      </c>
      <c r="L134" s="4">
        <v>11.962814</v>
      </c>
      <c r="M134" s="4"/>
      <c r="N134" s="4"/>
      <c r="O134" s="4"/>
      <c r="P134" s="4"/>
      <c r="Q134" s="7" t="s">
        <v>332</v>
      </c>
      <c r="R134" s="1">
        <v>1</v>
      </c>
    </row>
    <row r="135" spans="1:19" x14ac:dyDescent="0.25">
      <c r="A135" s="3" t="s">
        <v>362</v>
      </c>
      <c r="B135" s="4">
        <v>0.32640849999999999</v>
      </c>
      <c r="C135" s="4">
        <v>0.71722852999999998</v>
      </c>
      <c r="D135" s="4">
        <v>0.98427940000000003</v>
      </c>
      <c r="E135" s="4">
        <v>0.40925025999999998</v>
      </c>
      <c r="F135" s="4">
        <f t="shared" si="2"/>
        <v>0.98427940000000003</v>
      </c>
      <c r="G135" s="4"/>
      <c r="H135" s="4"/>
      <c r="I135" s="4"/>
      <c r="J135" s="4"/>
      <c r="K135" s="4">
        <v>16.122107</v>
      </c>
      <c r="L135" s="4">
        <v>12.477148</v>
      </c>
      <c r="M135" s="4"/>
      <c r="N135" s="4"/>
      <c r="O135" s="4"/>
      <c r="P135" s="4"/>
      <c r="Q135" s="7" t="s">
        <v>363</v>
      </c>
      <c r="R135" s="1">
        <v>1</v>
      </c>
      <c r="S135"/>
    </row>
    <row r="136" spans="1:19" x14ac:dyDescent="0.25">
      <c r="A136" s="3" t="s">
        <v>132</v>
      </c>
      <c r="B136" s="4">
        <v>0.27839900000000001</v>
      </c>
      <c r="C136" s="4">
        <v>0.99969529999999995</v>
      </c>
      <c r="D136" s="4">
        <v>0.64130370000000003</v>
      </c>
      <c r="E136" s="4">
        <v>0.81299659999999996</v>
      </c>
      <c r="F136" s="4">
        <f t="shared" si="2"/>
        <v>0.99969529999999995</v>
      </c>
      <c r="G136" s="4">
        <v>15.911148000000001</v>
      </c>
      <c r="H136" s="4">
        <v>42.274450000000002</v>
      </c>
      <c r="I136" s="4">
        <v>46.345917</v>
      </c>
      <c r="J136" s="4">
        <v>14.9537735</v>
      </c>
      <c r="K136" s="4"/>
      <c r="L136" s="4"/>
      <c r="M136" s="4"/>
      <c r="N136" s="4"/>
      <c r="O136" s="4"/>
      <c r="P136" s="4"/>
      <c r="Q136" s="1" t="s">
        <v>133</v>
      </c>
      <c r="R136" s="1">
        <v>1</v>
      </c>
    </row>
    <row r="137" spans="1:19" x14ac:dyDescent="0.25">
      <c r="A137" s="3" t="s">
        <v>60</v>
      </c>
      <c r="B137" s="4">
        <v>0.99985959999999996</v>
      </c>
      <c r="C137" s="4">
        <v>4.9818243999999998E-2</v>
      </c>
      <c r="D137" s="4">
        <v>0.99715244999999997</v>
      </c>
      <c r="E137" s="4">
        <v>0.86165619999999998</v>
      </c>
      <c r="F137" s="4">
        <f t="shared" si="2"/>
        <v>0.99985959999999996</v>
      </c>
      <c r="G137" s="4"/>
      <c r="H137" s="4"/>
      <c r="I137" s="4"/>
      <c r="J137" s="4"/>
      <c r="K137" s="4">
        <v>16.496162000000002</v>
      </c>
      <c r="L137" s="4">
        <v>16.167422999999999</v>
      </c>
      <c r="M137" s="4"/>
      <c r="N137" s="4"/>
      <c r="O137" s="4">
        <v>17.154457000000001</v>
      </c>
      <c r="P137" s="4">
        <v>14.018452</v>
      </c>
      <c r="Q137" s="11" t="s">
        <v>61</v>
      </c>
      <c r="R137" s="1">
        <v>0</v>
      </c>
    </row>
    <row r="138" spans="1:19" x14ac:dyDescent="0.25">
      <c r="A138" s="3" t="s">
        <v>314</v>
      </c>
      <c r="B138" s="4">
        <v>0.71576890000000004</v>
      </c>
      <c r="C138" s="4">
        <v>8.8299790000000004E-4</v>
      </c>
      <c r="D138" s="4">
        <v>0.97903717000000001</v>
      </c>
      <c r="E138" s="4">
        <v>0.47347359999999999</v>
      </c>
      <c r="F138" s="4">
        <f t="shared" si="2"/>
        <v>0.97903717000000001</v>
      </c>
      <c r="G138" s="4"/>
      <c r="H138" s="4"/>
      <c r="I138" s="4"/>
      <c r="J138" s="4"/>
      <c r="K138" s="4">
        <v>16.16675</v>
      </c>
      <c r="L138" s="4">
        <v>12.650696999999999</v>
      </c>
      <c r="M138" s="4"/>
      <c r="N138" s="4"/>
      <c r="O138" s="4"/>
      <c r="P138" s="4"/>
      <c r="Q138" s="1" t="s">
        <v>315</v>
      </c>
      <c r="R138" s="1">
        <v>1</v>
      </c>
    </row>
    <row r="139" spans="1:19" x14ac:dyDescent="0.25">
      <c r="A139" s="3" t="s">
        <v>76</v>
      </c>
      <c r="B139" s="4">
        <v>0.99052244</v>
      </c>
      <c r="C139" s="4">
        <v>0.61592084000000002</v>
      </c>
      <c r="D139" s="4">
        <v>0.99266299999999996</v>
      </c>
      <c r="E139" s="4">
        <v>0.88044509999999998</v>
      </c>
      <c r="F139" s="4">
        <f t="shared" si="2"/>
        <v>0.99266299999999996</v>
      </c>
      <c r="G139" s="4"/>
      <c r="H139" s="4"/>
      <c r="I139" s="4"/>
      <c r="J139" s="4"/>
      <c r="K139" s="4">
        <v>16.229565000000001</v>
      </c>
      <c r="L139" s="4">
        <v>13.863965</v>
      </c>
      <c r="M139" s="4"/>
      <c r="N139" s="4"/>
      <c r="O139" s="4">
        <v>16.194106999999999</v>
      </c>
      <c r="P139" s="4">
        <v>12.959463</v>
      </c>
      <c r="Q139" s="1" t="s">
        <v>77</v>
      </c>
      <c r="R139" s="1">
        <v>1</v>
      </c>
    </row>
    <row r="140" spans="1:19" x14ac:dyDescent="0.25">
      <c r="A140" s="3" t="s">
        <v>32</v>
      </c>
      <c r="B140" s="4">
        <v>0.95644956999999997</v>
      </c>
      <c r="C140" s="4">
        <v>0.59350099999999995</v>
      </c>
      <c r="D140" s="4">
        <v>0.67732340000000002</v>
      </c>
      <c r="E140" s="4">
        <v>0.61476529999999996</v>
      </c>
      <c r="F140" s="4">
        <f t="shared" si="2"/>
        <v>0.95644956999999997</v>
      </c>
      <c r="G140" s="4"/>
      <c r="H140" s="4"/>
      <c r="I140" s="4"/>
      <c r="J140" s="4"/>
      <c r="K140" s="4"/>
      <c r="L140" s="4"/>
      <c r="M140" s="4"/>
      <c r="N140" s="4"/>
      <c r="O140" s="4">
        <v>16.641255999999998</v>
      </c>
      <c r="P140" s="4">
        <v>13.278029</v>
      </c>
      <c r="Q140" s="1" t="s">
        <v>33</v>
      </c>
      <c r="R140" s="1">
        <v>1</v>
      </c>
      <c r="S140"/>
    </row>
    <row r="141" spans="1:19" x14ac:dyDescent="0.25">
      <c r="A141" s="3" t="s">
        <v>356</v>
      </c>
      <c r="B141" s="4">
        <v>0.38178216999999998</v>
      </c>
      <c r="C141" s="4">
        <v>0.1956377</v>
      </c>
      <c r="D141" s="4">
        <v>0.97737110000000005</v>
      </c>
      <c r="E141" s="4">
        <v>0.54719790000000001</v>
      </c>
      <c r="F141" s="4">
        <f t="shared" si="2"/>
        <v>0.97737110000000005</v>
      </c>
      <c r="G141" s="4"/>
      <c r="H141" s="4"/>
      <c r="I141" s="4"/>
      <c r="J141" s="4"/>
      <c r="K141" s="4">
        <v>15.775843999999999</v>
      </c>
      <c r="L141" s="4">
        <v>13.040768</v>
      </c>
      <c r="M141" s="4"/>
      <c r="N141" s="4"/>
      <c r="O141" s="4"/>
      <c r="P141" s="4"/>
      <c r="Q141" s="7" t="s">
        <v>357</v>
      </c>
      <c r="R141" s="1">
        <v>0</v>
      </c>
      <c r="S141"/>
    </row>
    <row r="142" spans="1:19" x14ac:dyDescent="0.25">
      <c r="A142" s="3" t="s">
        <v>294</v>
      </c>
      <c r="B142" s="4">
        <v>0.94756010000000002</v>
      </c>
      <c r="C142" s="4">
        <v>0.54845505999999999</v>
      </c>
      <c r="D142" s="4">
        <v>0.99976390000000004</v>
      </c>
      <c r="E142" s="4">
        <v>0.54620475000000002</v>
      </c>
      <c r="F142" s="4">
        <f t="shared" si="2"/>
        <v>0.99976390000000004</v>
      </c>
      <c r="G142" s="4"/>
      <c r="H142" s="4"/>
      <c r="I142" s="4"/>
      <c r="J142" s="4"/>
      <c r="K142" s="4">
        <v>15.748029000000001</v>
      </c>
      <c r="L142" s="4">
        <v>12.976774000000001</v>
      </c>
      <c r="M142" s="4"/>
      <c r="N142" s="4"/>
      <c r="O142" s="4"/>
      <c r="P142" s="4"/>
      <c r="Q142" s="1" t="s">
        <v>295</v>
      </c>
      <c r="R142" s="1">
        <v>1</v>
      </c>
      <c r="S142"/>
    </row>
    <row r="143" spans="1:19" x14ac:dyDescent="0.25">
      <c r="A143" s="3" t="s">
        <v>308</v>
      </c>
      <c r="B143" s="4">
        <v>0.66965954999999999</v>
      </c>
      <c r="C143" s="4">
        <v>0.90824930000000004</v>
      </c>
      <c r="D143" s="4">
        <v>0.97323113999999999</v>
      </c>
      <c r="E143" s="4">
        <v>0.52179790000000004</v>
      </c>
      <c r="F143" s="4">
        <f t="shared" si="2"/>
        <v>0.97323113999999999</v>
      </c>
      <c r="G143" s="4"/>
      <c r="H143" s="4"/>
      <c r="I143" s="4"/>
      <c r="J143" s="4"/>
      <c r="K143" s="4">
        <v>15.538214999999999</v>
      </c>
      <c r="L143" s="4">
        <v>12.664536</v>
      </c>
      <c r="M143" s="4"/>
      <c r="N143" s="4"/>
      <c r="O143" s="4"/>
      <c r="P143" s="4"/>
      <c r="Q143" s="1" t="s">
        <v>309</v>
      </c>
      <c r="R143" s="1">
        <v>1</v>
      </c>
      <c r="S143"/>
    </row>
    <row r="144" spans="1:19" x14ac:dyDescent="0.25">
      <c r="A144" s="3" t="s">
        <v>456</v>
      </c>
      <c r="B144" s="4">
        <v>0.11003185</v>
      </c>
      <c r="C144" s="4">
        <v>0.65322619999999998</v>
      </c>
      <c r="D144" s="4">
        <v>0.80811197000000001</v>
      </c>
      <c r="E144" s="4">
        <v>0.95841383999999996</v>
      </c>
      <c r="F144" s="4">
        <f t="shared" si="2"/>
        <v>0.95841383999999996</v>
      </c>
      <c r="G144" s="4"/>
      <c r="H144" s="4"/>
      <c r="I144" s="4"/>
      <c r="J144" s="4"/>
      <c r="K144" s="4"/>
      <c r="L144" s="4"/>
      <c r="M144" s="4">
        <v>11.119059999999999</v>
      </c>
      <c r="N144" s="4">
        <v>0.15044571000000001</v>
      </c>
      <c r="O144" s="4"/>
      <c r="P144" s="4"/>
      <c r="Q144" s="1" t="s">
        <v>457</v>
      </c>
      <c r="R144" s="1">
        <v>1</v>
      </c>
    </row>
    <row r="145" spans="1:19" x14ac:dyDescent="0.25">
      <c r="A145" s="3" t="s">
        <v>128</v>
      </c>
      <c r="B145" s="4">
        <v>0.30383169999999998</v>
      </c>
      <c r="C145" s="4">
        <v>0.99199729999999997</v>
      </c>
      <c r="D145" s="4">
        <v>0.35487999999999997</v>
      </c>
      <c r="E145" s="4">
        <v>0.69393885</v>
      </c>
      <c r="F145" s="4">
        <f t="shared" si="2"/>
        <v>0.99199729999999997</v>
      </c>
      <c r="G145" s="4">
        <v>15.884124999999999</v>
      </c>
      <c r="H145" s="4">
        <v>36.765841999999999</v>
      </c>
      <c r="I145" s="4">
        <v>37.563828000000001</v>
      </c>
      <c r="J145" s="4">
        <v>13.957243</v>
      </c>
      <c r="K145" s="4"/>
      <c r="L145" s="4"/>
      <c r="M145" s="4"/>
      <c r="N145" s="4"/>
      <c r="O145" s="4"/>
      <c r="P145" s="4"/>
      <c r="Q145" s="11" t="s">
        <v>129</v>
      </c>
      <c r="R145" s="1">
        <v>0</v>
      </c>
    </row>
    <row r="146" spans="1:19" x14ac:dyDescent="0.25">
      <c r="A146" s="3" t="s">
        <v>384</v>
      </c>
      <c r="B146" s="4">
        <v>0.58274090000000001</v>
      </c>
      <c r="C146" s="4">
        <v>0.89972322999999998</v>
      </c>
      <c r="D146" s="4">
        <v>0.95913519999999997</v>
      </c>
      <c r="E146" s="4">
        <v>0.62677680000000002</v>
      </c>
      <c r="F146" s="4">
        <f t="shared" si="2"/>
        <v>0.95913519999999997</v>
      </c>
      <c r="G146" s="4"/>
      <c r="H146" s="4"/>
      <c r="I146" s="4"/>
      <c r="J146" s="4"/>
      <c r="K146" s="4">
        <v>16.496162000000002</v>
      </c>
      <c r="L146" s="4">
        <v>12.874603</v>
      </c>
      <c r="M146" s="4"/>
      <c r="N146" s="4"/>
      <c r="O146" s="4"/>
      <c r="P146" s="4"/>
      <c r="Q146" s="7" t="s">
        <v>385</v>
      </c>
      <c r="R146" s="1">
        <v>0</v>
      </c>
      <c r="S146"/>
    </row>
    <row r="147" spans="1:19" x14ac:dyDescent="0.25">
      <c r="A147" s="3" t="s">
        <v>418</v>
      </c>
      <c r="B147" s="4">
        <v>0.62022010000000005</v>
      </c>
      <c r="C147" s="4">
        <v>0.66061990000000004</v>
      </c>
      <c r="D147" s="4">
        <v>0.97650515999999998</v>
      </c>
      <c r="E147" s="4">
        <v>0.49052753999999998</v>
      </c>
      <c r="F147" s="4">
        <f t="shared" si="2"/>
        <v>0.97650515999999998</v>
      </c>
      <c r="G147" s="4"/>
      <c r="H147" s="4"/>
      <c r="I147" s="4"/>
      <c r="J147" s="4"/>
      <c r="K147" s="4">
        <v>16.206924000000001</v>
      </c>
      <c r="L147" s="4">
        <v>12.356111</v>
      </c>
      <c r="M147" s="4"/>
      <c r="N147" s="4"/>
      <c r="O147" s="4"/>
      <c r="P147" s="4"/>
      <c r="Q147" s="8" t="s">
        <v>419</v>
      </c>
      <c r="R147" s="1">
        <v>0</v>
      </c>
      <c r="S147"/>
    </row>
    <row r="148" spans="1:19" x14ac:dyDescent="0.25">
      <c r="A148" s="3" t="s">
        <v>394</v>
      </c>
      <c r="B148" s="4">
        <v>0.64738642999999996</v>
      </c>
      <c r="C148" s="4">
        <v>0.69537870000000002</v>
      </c>
      <c r="D148" s="4">
        <v>0.97275860000000003</v>
      </c>
      <c r="E148" s="4">
        <v>0.52063786999999995</v>
      </c>
      <c r="F148" s="4">
        <f t="shared" si="2"/>
        <v>0.97275860000000003</v>
      </c>
      <c r="G148" s="4"/>
      <c r="H148" s="4"/>
      <c r="I148" s="4"/>
      <c r="J148" s="4"/>
      <c r="K148" s="4">
        <v>15.972989999999999</v>
      </c>
      <c r="L148" s="4">
        <v>12.222432</v>
      </c>
      <c r="M148" s="4"/>
      <c r="N148" s="4"/>
      <c r="O148" s="4"/>
      <c r="P148" s="4"/>
      <c r="Q148" s="8" t="s">
        <v>395</v>
      </c>
      <c r="R148" s="1">
        <v>0</v>
      </c>
      <c r="S148"/>
    </row>
    <row r="149" spans="1:19" x14ac:dyDescent="0.25">
      <c r="A149" s="3" t="s">
        <v>372</v>
      </c>
      <c r="B149" s="4">
        <v>0.69510996000000003</v>
      </c>
      <c r="C149" s="4">
        <v>9.0328199999999997E-2</v>
      </c>
      <c r="D149" s="4">
        <v>0.983124</v>
      </c>
      <c r="E149" s="4">
        <v>0.52118310000000001</v>
      </c>
      <c r="F149" s="4">
        <f t="shared" si="2"/>
        <v>0.983124</v>
      </c>
      <c r="G149" s="4"/>
      <c r="H149" s="4"/>
      <c r="I149" s="4"/>
      <c r="J149" s="4"/>
      <c r="K149" s="4">
        <v>16.263884000000001</v>
      </c>
      <c r="L149" s="4">
        <v>12.597189999999999</v>
      </c>
      <c r="M149" s="4"/>
      <c r="N149" s="4"/>
      <c r="O149" s="4"/>
      <c r="P149" s="4"/>
      <c r="Q149" s="7" t="s">
        <v>373</v>
      </c>
      <c r="R149" s="1">
        <v>0</v>
      </c>
    </row>
    <row r="150" spans="1:19" x14ac:dyDescent="0.25">
      <c r="A150" s="3" t="s">
        <v>86</v>
      </c>
      <c r="B150" s="4">
        <v>0.96555024</v>
      </c>
      <c r="C150" s="4">
        <v>0.74562603000000005</v>
      </c>
      <c r="D150" s="4">
        <v>1</v>
      </c>
      <c r="E150" s="4">
        <v>0.78627104000000003</v>
      </c>
      <c r="F150" s="4">
        <f t="shared" si="2"/>
        <v>1</v>
      </c>
      <c r="G150" s="4"/>
      <c r="H150" s="4"/>
      <c r="I150" s="4"/>
      <c r="J150" s="4"/>
      <c r="K150" s="4">
        <v>16.541205999999999</v>
      </c>
      <c r="L150" s="4">
        <v>11.682930000000001</v>
      </c>
      <c r="M150" s="4"/>
      <c r="N150" s="4"/>
      <c r="O150" s="4">
        <v>16.974254999999999</v>
      </c>
      <c r="P150" s="4">
        <v>13.217701</v>
      </c>
      <c r="Q150" s="1" t="s">
        <v>87</v>
      </c>
      <c r="R150" s="1">
        <v>1</v>
      </c>
    </row>
    <row r="151" spans="1:19" x14ac:dyDescent="0.25">
      <c r="A151" s="3" t="s">
        <v>448</v>
      </c>
      <c r="B151" s="4">
        <v>0.43113564999999998</v>
      </c>
      <c r="C151" s="4">
        <v>3.8227610000000002E-2</v>
      </c>
      <c r="D151" s="4">
        <v>0.80157590000000001</v>
      </c>
      <c r="E151" s="4">
        <v>0.98819387000000003</v>
      </c>
      <c r="F151" s="4">
        <f t="shared" si="2"/>
        <v>0.98819387000000003</v>
      </c>
      <c r="G151" s="4"/>
      <c r="H151" s="4"/>
      <c r="I151" s="4"/>
      <c r="J151" s="4"/>
      <c r="K151" s="4"/>
      <c r="L151" s="4"/>
      <c r="M151" s="4">
        <v>10.746513</v>
      </c>
      <c r="N151" s="4">
        <v>0.14581930000000001</v>
      </c>
      <c r="O151" s="4"/>
      <c r="P151" s="4"/>
      <c r="Q151" s="1" t="s">
        <v>449</v>
      </c>
      <c r="R151" s="1">
        <v>1</v>
      </c>
      <c r="S151"/>
    </row>
    <row r="152" spans="1:19" x14ac:dyDescent="0.25">
      <c r="A152" s="1" t="s">
        <v>8</v>
      </c>
      <c r="B152" s="4">
        <v>0.96218890000000001</v>
      </c>
      <c r="C152" s="4">
        <v>0.69157314000000003</v>
      </c>
      <c r="D152" s="4">
        <v>0.67405384999999995</v>
      </c>
      <c r="E152" s="4">
        <v>0.96013826000000002</v>
      </c>
      <c r="F152" s="4">
        <f t="shared" si="2"/>
        <v>0.96218890000000001</v>
      </c>
      <c r="G152" s="4"/>
      <c r="H152" s="4"/>
      <c r="I152" s="4"/>
      <c r="J152" s="4"/>
      <c r="K152" s="4"/>
      <c r="L152" s="4"/>
      <c r="M152" s="4">
        <v>12.748886000000001</v>
      </c>
      <c r="N152" s="4">
        <v>0.1448344</v>
      </c>
      <c r="O152" s="4">
        <v>16.093343999999998</v>
      </c>
      <c r="P152" s="4">
        <v>14.017874000000001</v>
      </c>
      <c r="Q152" s="1" t="s">
        <v>9</v>
      </c>
      <c r="R152" s="1">
        <v>1</v>
      </c>
      <c r="S152"/>
    </row>
    <row r="153" spans="1:19" x14ac:dyDescent="0.25">
      <c r="A153" s="3" t="s">
        <v>150</v>
      </c>
      <c r="B153" s="4">
        <v>0.41999856000000002</v>
      </c>
      <c r="C153" s="4">
        <v>0.98072870000000001</v>
      </c>
      <c r="D153" s="4">
        <v>4.2285089999999997E-2</v>
      </c>
      <c r="E153" s="4">
        <v>0.46802696999999999</v>
      </c>
      <c r="F153" s="4">
        <f t="shared" si="2"/>
        <v>0.98072870000000001</v>
      </c>
      <c r="G153" s="4">
        <v>15.58663</v>
      </c>
      <c r="H153" s="4">
        <v>40.102290000000004</v>
      </c>
      <c r="I153" s="4">
        <v>40.406039999999997</v>
      </c>
      <c r="J153" s="4">
        <v>13.430221</v>
      </c>
      <c r="K153" s="4"/>
      <c r="L153" s="4"/>
      <c r="M153" s="4"/>
      <c r="N153" s="4"/>
      <c r="O153" s="4"/>
      <c r="P153" s="4"/>
      <c r="Q153" s="1" t="s">
        <v>151</v>
      </c>
      <c r="R153" s="1">
        <v>1</v>
      </c>
    </row>
    <row r="154" spans="1:19" x14ac:dyDescent="0.25">
      <c r="A154" s="3" t="s">
        <v>194</v>
      </c>
      <c r="B154" s="4">
        <v>0.48008000000000001</v>
      </c>
      <c r="C154" s="4">
        <v>0.97384404999999996</v>
      </c>
      <c r="D154" s="4">
        <v>0.53168369999999998</v>
      </c>
      <c r="E154" s="4">
        <v>0.37085446999999999</v>
      </c>
      <c r="F154" s="4">
        <f t="shared" si="2"/>
        <v>0.97384404999999996</v>
      </c>
      <c r="G154" s="4">
        <v>15.916359</v>
      </c>
      <c r="H154" s="4">
        <v>39.087670000000003</v>
      </c>
      <c r="I154" s="4">
        <v>39.746876</v>
      </c>
      <c r="J154" s="4">
        <v>14.652506000000001</v>
      </c>
      <c r="K154" s="4"/>
      <c r="L154" s="4"/>
      <c r="M154" s="4"/>
      <c r="N154" s="4"/>
      <c r="O154" s="4"/>
      <c r="P154" s="4"/>
      <c r="Q154" s="1" t="s">
        <v>195</v>
      </c>
      <c r="R154" s="1">
        <v>0</v>
      </c>
      <c r="S154"/>
    </row>
    <row r="155" spans="1:19" x14ac:dyDescent="0.25">
      <c r="A155" s="3" t="s">
        <v>327</v>
      </c>
      <c r="B155" s="4">
        <v>0.40212014000000001</v>
      </c>
      <c r="C155" s="4">
        <v>0.20932240999999999</v>
      </c>
      <c r="D155" s="4">
        <v>0.99418629999999997</v>
      </c>
      <c r="E155" s="4">
        <v>0.46778867000000002</v>
      </c>
      <c r="F155" s="4">
        <f t="shared" si="2"/>
        <v>0.99418629999999997</v>
      </c>
      <c r="G155" s="4"/>
      <c r="H155" s="4"/>
      <c r="I155" s="4"/>
      <c r="J155" s="4"/>
      <c r="K155" s="4">
        <v>15.770923</v>
      </c>
      <c r="L155" s="4">
        <v>12.749271</v>
      </c>
      <c r="M155" s="4"/>
      <c r="N155" s="4"/>
      <c r="O155" s="4"/>
      <c r="P155" s="4"/>
      <c r="Q155" s="7" t="s">
        <v>328</v>
      </c>
      <c r="R155" s="1">
        <v>1</v>
      </c>
      <c r="S155"/>
    </row>
    <row r="156" spans="1:19" x14ac:dyDescent="0.25">
      <c r="A156" s="3" t="s">
        <v>321</v>
      </c>
      <c r="B156" s="4">
        <v>0.83036049999999995</v>
      </c>
      <c r="C156" s="4">
        <v>0.86340070000000002</v>
      </c>
      <c r="D156" s="4">
        <v>0.98489373999999996</v>
      </c>
      <c r="E156" s="4">
        <v>0.56019443000000002</v>
      </c>
      <c r="F156" s="4">
        <f t="shared" si="2"/>
        <v>0.98489373999999996</v>
      </c>
      <c r="G156" s="4"/>
      <c r="H156" s="4"/>
      <c r="I156" s="4"/>
      <c r="J156" s="4"/>
      <c r="K156" s="4">
        <v>16.508568</v>
      </c>
      <c r="L156" s="4">
        <v>12.659115</v>
      </c>
      <c r="M156" s="4"/>
      <c r="N156" s="4"/>
      <c r="O156" s="4"/>
      <c r="P156" s="4"/>
      <c r="Q156" s="7" t="s">
        <v>322</v>
      </c>
      <c r="R156" s="1">
        <v>0</v>
      </c>
    </row>
    <row r="157" spans="1:19" x14ac:dyDescent="0.25">
      <c r="A157" s="3" t="s">
        <v>126</v>
      </c>
      <c r="B157" s="4">
        <v>0.42926325999999998</v>
      </c>
      <c r="C157" s="4">
        <v>0.97879959999999999</v>
      </c>
      <c r="D157" s="4">
        <v>0.53310614999999995</v>
      </c>
      <c r="E157" s="4">
        <v>0.61562720000000004</v>
      </c>
      <c r="F157" s="4">
        <f t="shared" si="2"/>
        <v>0.97879959999999999</v>
      </c>
      <c r="G157" s="4">
        <v>15.949066</v>
      </c>
      <c r="H157" s="4">
        <v>43.371479999999998</v>
      </c>
      <c r="I157" s="4">
        <v>41.052357000000001</v>
      </c>
      <c r="J157" s="4">
        <v>15.329791999999999</v>
      </c>
      <c r="K157" s="4"/>
      <c r="L157" s="4"/>
      <c r="M157" s="4"/>
      <c r="N157" s="4"/>
      <c r="O157" s="4"/>
      <c r="P157" s="4"/>
      <c r="Q157" s="1" t="s">
        <v>127</v>
      </c>
      <c r="R157" s="1">
        <v>1</v>
      </c>
    </row>
    <row r="158" spans="1:19" x14ac:dyDescent="0.25">
      <c r="A158" s="3" t="s">
        <v>302</v>
      </c>
      <c r="B158" s="4">
        <v>0.66234064000000004</v>
      </c>
      <c r="C158" s="4">
        <v>0.58370270000000002</v>
      </c>
      <c r="D158" s="4">
        <v>0.96578269999999999</v>
      </c>
      <c r="E158" s="4">
        <v>0.46539429999999998</v>
      </c>
      <c r="F158" s="4">
        <f t="shared" si="2"/>
        <v>0.96578269999999999</v>
      </c>
      <c r="G158" s="4"/>
      <c r="H158" s="4"/>
      <c r="I158" s="4"/>
      <c r="J158" s="4"/>
      <c r="K158" s="4">
        <v>16.496162000000002</v>
      </c>
      <c r="L158" s="4">
        <v>11.767367999999999</v>
      </c>
      <c r="M158" s="4"/>
      <c r="N158" s="4"/>
      <c r="O158" s="4"/>
      <c r="P158" s="4"/>
      <c r="Q158" s="1" t="s">
        <v>303</v>
      </c>
      <c r="R158" s="1">
        <v>0</v>
      </c>
    </row>
    <row r="159" spans="1:19" x14ac:dyDescent="0.25">
      <c r="A159" s="3" t="s">
        <v>234</v>
      </c>
      <c r="B159" s="4">
        <v>0.88261455</v>
      </c>
      <c r="C159" s="4">
        <v>0.98948559999999997</v>
      </c>
      <c r="D159" s="4">
        <v>0.73438716000000004</v>
      </c>
      <c r="E159" s="4">
        <v>0.56855040000000001</v>
      </c>
      <c r="F159" s="4">
        <f t="shared" si="2"/>
        <v>0.98948559999999997</v>
      </c>
      <c r="G159" s="4">
        <v>15.780417999999999</v>
      </c>
      <c r="H159" s="4">
        <v>42.884075000000003</v>
      </c>
      <c r="I159" s="4">
        <v>41.267740000000003</v>
      </c>
      <c r="J159" s="4">
        <v>15.989858999999999</v>
      </c>
      <c r="K159" s="4"/>
      <c r="L159" s="4"/>
      <c r="M159" s="4"/>
      <c r="N159" s="4"/>
      <c r="O159" s="4"/>
      <c r="P159" s="4"/>
      <c r="Q159" s="11" t="s">
        <v>235</v>
      </c>
      <c r="R159" s="1">
        <v>0</v>
      </c>
    </row>
    <row r="160" spans="1:19" x14ac:dyDescent="0.25">
      <c r="A160" s="3" t="s">
        <v>220</v>
      </c>
      <c r="B160" s="4">
        <v>0.43989486</v>
      </c>
      <c r="C160" s="4">
        <v>0.98202294000000001</v>
      </c>
      <c r="D160" s="4">
        <v>0.44174287000000001</v>
      </c>
      <c r="E160" s="4">
        <v>0.56135950000000001</v>
      </c>
      <c r="F160" s="4">
        <f t="shared" si="2"/>
        <v>0.98202294000000001</v>
      </c>
      <c r="G160" s="4">
        <v>15.892030999999999</v>
      </c>
      <c r="H160" s="4">
        <v>40.013522999999999</v>
      </c>
      <c r="I160" s="4">
        <v>39.640231999999997</v>
      </c>
      <c r="J160" s="4">
        <v>13.785399</v>
      </c>
      <c r="K160" s="4"/>
      <c r="L160" s="4"/>
      <c r="M160" s="4"/>
      <c r="N160" s="4"/>
      <c r="O160" s="4"/>
      <c r="P160" s="4"/>
      <c r="Q160" s="11" t="s">
        <v>221</v>
      </c>
      <c r="R160" s="1">
        <v>0</v>
      </c>
    </row>
    <row r="161" spans="1:19" x14ac:dyDescent="0.25">
      <c r="A161" s="3" t="s">
        <v>348</v>
      </c>
      <c r="B161" s="4">
        <v>0.62027449999999995</v>
      </c>
      <c r="C161" s="4">
        <v>0.8014464</v>
      </c>
      <c r="D161" s="4">
        <v>0.979634</v>
      </c>
      <c r="E161" s="4">
        <v>0.57782215000000003</v>
      </c>
      <c r="F161" s="4">
        <f t="shared" si="2"/>
        <v>0.979634</v>
      </c>
      <c r="G161" s="4"/>
      <c r="H161" s="4"/>
      <c r="I161" s="4"/>
      <c r="J161" s="4"/>
      <c r="K161" s="4">
        <v>16.496162000000002</v>
      </c>
      <c r="L161" s="4">
        <v>12.702938</v>
      </c>
      <c r="M161" s="4"/>
      <c r="N161" s="4"/>
      <c r="O161" s="4"/>
      <c r="P161" s="4"/>
      <c r="Q161" s="11" t="s">
        <v>349</v>
      </c>
      <c r="R161" s="1">
        <v>0</v>
      </c>
    </row>
    <row r="162" spans="1:19" x14ac:dyDescent="0.25">
      <c r="A162" s="3" t="s">
        <v>248</v>
      </c>
      <c r="B162" s="4">
        <v>0.23954972999999999</v>
      </c>
      <c r="C162" s="4">
        <v>0.99602690000000005</v>
      </c>
      <c r="D162" s="4">
        <v>0.38793522000000003</v>
      </c>
      <c r="E162" s="4">
        <v>0.90407850000000001</v>
      </c>
      <c r="F162" s="4">
        <f t="shared" si="2"/>
        <v>0.99602690000000005</v>
      </c>
      <c r="G162" s="4">
        <v>15.401709</v>
      </c>
      <c r="H162" s="4">
        <v>41.313220000000001</v>
      </c>
      <c r="I162" s="4">
        <v>40.085132999999999</v>
      </c>
      <c r="J162" s="4">
        <v>15.562830999999999</v>
      </c>
      <c r="K162" s="4"/>
      <c r="L162" s="4"/>
      <c r="M162" s="4"/>
      <c r="N162" s="4"/>
      <c r="O162" s="4"/>
      <c r="P162" s="4"/>
      <c r="Q162" s="1" t="s">
        <v>249</v>
      </c>
      <c r="R162" s="1">
        <v>0</v>
      </c>
    </row>
    <row r="163" spans="1:19" x14ac:dyDescent="0.25">
      <c r="A163" s="3" t="s">
        <v>166</v>
      </c>
      <c r="B163" s="4">
        <v>0.43401590000000001</v>
      </c>
      <c r="C163" s="4">
        <v>0.9577196</v>
      </c>
      <c r="D163" s="4">
        <v>0.58030444000000003</v>
      </c>
      <c r="E163" s="4">
        <v>0.60286689999999998</v>
      </c>
      <c r="F163" s="4">
        <f t="shared" si="2"/>
        <v>0.9577196</v>
      </c>
      <c r="G163" s="4">
        <v>15.945868000000001</v>
      </c>
      <c r="H163" s="4">
        <v>34.429690000000001</v>
      </c>
      <c r="I163" s="4">
        <v>39.033825</v>
      </c>
      <c r="J163" s="4">
        <v>13.533922</v>
      </c>
      <c r="K163" s="4"/>
      <c r="L163" s="4"/>
      <c r="M163" s="4"/>
      <c r="N163" s="4"/>
      <c r="O163" s="4"/>
      <c r="P163" s="4"/>
      <c r="Q163" s="1" t="s">
        <v>167</v>
      </c>
      <c r="R163" s="1">
        <v>0</v>
      </c>
      <c r="S163"/>
    </row>
    <row r="164" spans="1:19" x14ac:dyDescent="0.25">
      <c r="A164" s="3" t="s">
        <v>380</v>
      </c>
      <c r="B164" s="4">
        <v>0.41700503</v>
      </c>
      <c r="C164" s="4">
        <v>0.88981829999999995</v>
      </c>
      <c r="D164" s="4">
        <v>0.98654109999999995</v>
      </c>
      <c r="E164" s="4">
        <v>0.58721719999999999</v>
      </c>
      <c r="F164" s="4">
        <f t="shared" si="2"/>
        <v>0.98654109999999995</v>
      </c>
      <c r="G164" s="4"/>
      <c r="H164" s="4"/>
      <c r="I164" s="4"/>
      <c r="J164" s="4"/>
      <c r="K164" s="4">
        <v>16.265820000000001</v>
      </c>
      <c r="L164" s="4">
        <v>11.058564000000001</v>
      </c>
      <c r="M164" s="4"/>
      <c r="N164" s="4"/>
      <c r="O164" s="4"/>
      <c r="P164" s="4"/>
      <c r="Q164" s="7" t="s">
        <v>381</v>
      </c>
      <c r="R164" s="1">
        <v>1</v>
      </c>
      <c r="S164"/>
    </row>
    <row r="165" spans="1:19" x14ac:dyDescent="0.25">
      <c r="A165" s="3" t="s">
        <v>152</v>
      </c>
      <c r="B165" s="4">
        <v>0.45836565000000001</v>
      </c>
      <c r="C165" s="4">
        <v>0.96371620000000002</v>
      </c>
      <c r="D165" s="4">
        <v>0.72682340000000001</v>
      </c>
      <c r="E165" s="4">
        <v>0.49741976999999998</v>
      </c>
      <c r="F165" s="4">
        <f t="shared" si="2"/>
        <v>0.96371620000000002</v>
      </c>
      <c r="G165" s="4">
        <v>15.949066</v>
      </c>
      <c r="H165" s="4">
        <v>41.108246000000001</v>
      </c>
      <c r="I165" s="4">
        <v>44.134149999999998</v>
      </c>
      <c r="J165" s="4">
        <v>14.404728</v>
      </c>
      <c r="K165" s="4"/>
      <c r="L165" s="4"/>
      <c r="M165" s="4"/>
      <c r="N165" s="4"/>
      <c r="O165" s="4"/>
      <c r="P165" s="4"/>
      <c r="Q165" s="1" t="s">
        <v>153</v>
      </c>
      <c r="R165" s="1">
        <v>1</v>
      </c>
    </row>
    <row r="166" spans="1:19" x14ac:dyDescent="0.25">
      <c r="A166" s="3" t="s">
        <v>34</v>
      </c>
      <c r="B166" s="4">
        <v>0.98909190000000002</v>
      </c>
      <c r="C166" s="4">
        <v>0.99511826000000003</v>
      </c>
      <c r="D166" s="4">
        <v>5.8464803000000003E-2</v>
      </c>
      <c r="E166" s="4">
        <v>0.98014336999999996</v>
      </c>
      <c r="F166" s="4">
        <f t="shared" si="2"/>
        <v>0.99511826000000003</v>
      </c>
      <c r="G166" s="4">
        <v>15.44271</v>
      </c>
      <c r="H166" s="4">
        <v>41.908337000000003</v>
      </c>
      <c r="I166" s="4">
        <v>49.036136999999997</v>
      </c>
      <c r="J166" s="4">
        <v>16.191130000000001</v>
      </c>
      <c r="K166" s="4"/>
      <c r="L166" s="4"/>
      <c r="M166" s="4">
        <v>14.173666000000001</v>
      </c>
      <c r="N166" s="4">
        <v>0.15044571000000001</v>
      </c>
      <c r="O166" s="4">
        <v>15.392018999999999</v>
      </c>
      <c r="P166" s="4">
        <v>14.295992</v>
      </c>
      <c r="Q166" s="1" t="s">
        <v>35</v>
      </c>
      <c r="R166" s="1">
        <v>1</v>
      </c>
      <c r="S166"/>
    </row>
    <row r="167" spans="1:19" x14ac:dyDescent="0.25">
      <c r="A167" s="3" t="s">
        <v>88</v>
      </c>
      <c r="B167" s="4">
        <v>0.98547320000000005</v>
      </c>
      <c r="C167" s="4">
        <v>0.37177612999999998</v>
      </c>
      <c r="D167" s="4">
        <v>0.5161135</v>
      </c>
      <c r="E167" s="4">
        <v>0.81590850000000004</v>
      </c>
      <c r="F167" s="4">
        <f t="shared" si="2"/>
        <v>0.98547320000000005</v>
      </c>
      <c r="G167" s="4"/>
      <c r="H167" s="4"/>
      <c r="I167" s="4"/>
      <c r="J167" s="4"/>
      <c r="K167" s="4"/>
      <c r="L167" s="4"/>
      <c r="M167" s="4"/>
      <c r="N167" s="4"/>
      <c r="O167" s="4">
        <v>16.027884</v>
      </c>
      <c r="P167" s="4">
        <v>14.028513</v>
      </c>
      <c r="Q167" s="1" t="s">
        <v>89</v>
      </c>
      <c r="R167" s="1">
        <v>0</v>
      </c>
      <c r="S167"/>
    </row>
    <row r="168" spans="1:19" x14ac:dyDescent="0.25">
      <c r="A168" s="3" t="s">
        <v>246</v>
      </c>
      <c r="B168" s="4">
        <v>0.45535841999999999</v>
      </c>
      <c r="C168" s="4">
        <v>0.97532700000000006</v>
      </c>
      <c r="D168" s="4">
        <v>0.30313269999999998</v>
      </c>
      <c r="E168" s="4">
        <v>0.34241939999999998</v>
      </c>
      <c r="F168" s="4">
        <f t="shared" si="2"/>
        <v>0.97532700000000006</v>
      </c>
      <c r="G168" s="4">
        <v>15.41896</v>
      </c>
      <c r="H168" s="4">
        <v>42.752907</v>
      </c>
      <c r="I168" s="4">
        <v>43.270695000000003</v>
      </c>
      <c r="J168" s="4">
        <v>15.238025</v>
      </c>
      <c r="K168" s="4"/>
      <c r="L168" s="4"/>
      <c r="M168" s="4"/>
      <c r="N168" s="4"/>
      <c r="O168" s="4"/>
      <c r="P168" s="4"/>
      <c r="Q168" s="1" t="s">
        <v>247</v>
      </c>
      <c r="R168" s="1">
        <v>0</v>
      </c>
      <c r="S168"/>
    </row>
    <row r="169" spans="1:19" x14ac:dyDescent="0.25">
      <c r="A169" s="3" t="s">
        <v>360</v>
      </c>
      <c r="B169" s="4">
        <v>0.86619760000000001</v>
      </c>
      <c r="C169" s="4">
        <v>0.87620699999999996</v>
      </c>
      <c r="D169" s="4">
        <v>0.99999963999999997</v>
      </c>
      <c r="E169" s="4">
        <v>0.68297666000000001</v>
      </c>
      <c r="F169" s="4">
        <f t="shared" si="2"/>
        <v>0.99999963999999997</v>
      </c>
      <c r="G169" s="4"/>
      <c r="H169" s="4"/>
      <c r="I169" s="4"/>
      <c r="J169" s="4"/>
      <c r="K169" s="4">
        <v>16.122107</v>
      </c>
      <c r="L169" s="4">
        <v>12.991852</v>
      </c>
      <c r="M169" s="4"/>
      <c r="N169" s="4"/>
      <c r="O169" s="4"/>
      <c r="P169" s="4"/>
      <c r="Q169" s="7" t="s">
        <v>361</v>
      </c>
      <c r="R169" s="1">
        <v>1</v>
      </c>
    </row>
    <row r="170" spans="1:19" x14ac:dyDescent="0.25">
      <c r="A170" s="3" t="s">
        <v>230</v>
      </c>
      <c r="B170" s="4">
        <v>0.61827356</v>
      </c>
      <c r="C170" s="4">
        <v>0.96092396999999996</v>
      </c>
      <c r="D170" s="4">
        <v>0.38201794</v>
      </c>
      <c r="E170" s="4">
        <v>0.63606167000000002</v>
      </c>
      <c r="F170" s="4">
        <f t="shared" si="2"/>
        <v>0.96092396999999996</v>
      </c>
      <c r="G170" s="4">
        <v>15.707018</v>
      </c>
      <c r="H170" s="4">
        <v>41.126359999999998</v>
      </c>
      <c r="I170" s="4">
        <v>40.662857000000002</v>
      </c>
      <c r="J170" s="4">
        <v>15.073088</v>
      </c>
      <c r="K170" s="4"/>
      <c r="L170" s="4"/>
      <c r="M170" s="4"/>
      <c r="N170" s="4"/>
      <c r="O170" s="4"/>
      <c r="P170" s="4"/>
      <c r="Q170" s="1" t="s">
        <v>231</v>
      </c>
      <c r="R170" s="1">
        <v>0</v>
      </c>
    </row>
    <row r="171" spans="1:19" x14ac:dyDescent="0.25">
      <c r="A171" s="3" t="s">
        <v>352</v>
      </c>
      <c r="B171" s="4">
        <v>0.31120634000000003</v>
      </c>
      <c r="C171" s="4">
        <v>0.91097623000000005</v>
      </c>
      <c r="D171" s="4">
        <v>0.99869410000000003</v>
      </c>
      <c r="E171" s="4">
        <v>0.59858599999999995</v>
      </c>
      <c r="F171" s="4">
        <f t="shared" si="2"/>
        <v>0.99869410000000003</v>
      </c>
      <c r="G171" s="4"/>
      <c r="H171" s="4"/>
      <c r="I171" s="4"/>
      <c r="J171" s="4"/>
      <c r="K171" s="4">
        <v>16.318515999999999</v>
      </c>
      <c r="L171" s="4">
        <v>11.660418999999999</v>
      </c>
      <c r="M171" s="4"/>
      <c r="N171" s="4"/>
      <c r="O171" s="4"/>
      <c r="P171" s="4"/>
      <c r="Q171" s="7" t="s">
        <v>353</v>
      </c>
      <c r="R171" s="1">
        <v>0</v>
      </c>
      <c r="S171"/>
    </row>
    <row r="172" spans="1:19" x14ac:dyDescent="0.25">
      <c r="A172" s="3" t="s">
        <v>333</v>
      </c>
      <c r="B172" s="4">
        <v>0.38872635</v>
      </c>
      <c r="C172" s="4">
        <v>0.17345859999999999</v>
      </c>
      <c r="D172" s="4">
        <v>0.99270296000000002</v>
      </c>
      <c r="E172" s="4">
        <v>0.64350456</v>
      </c>
      <c r="F172" s="4">
        <f t="shared" si="2"/>
        <v>0.99270296000000002</v>
      </c>
      <c r="G172" s="4"/>
      <c r="H172" s="4"/>
      <c r="I172" s="4"/>
      <c r="J172" s="4"/>
      <c r="K172" s="4">
        <v>16.50507</v>
      </c>
      <c r="L172" s="4">
        <v>11.848431</v>
      </c>
      <c r="M172" s="4"/>
      <c r="N172" s="4"/>
      <c r="O172" s="4"/>
      <c r="P172" s="4"/>
      <c r="Q172" s="7" t="s">
        <v>334</v>
      </c>
      <c r="R172" s="1">
        <v>1</v>
      </c>
    </row>
    <row r="173" spans="1:19" x14ac:dyDescent="0.25">
      <c r="A173" s="3" t="s">
        <v>428</v>
      </c>
      <c r="B173" s="4">
        <v>0.5690904</v>
      </c>
      <c r="C173" s="4">
        <v>0.52573080000000005</v>
      </c>
      <c r="D173" s="4">
        <v>0.97673860000000001</v>
      </c>
      <c r="E173" s="4">
        <v>0.49732684999999999</v>
      </c>
      <c r="F173" s="4">
        <f t="shared" si="2"/>
        <v>0.97673860000000001</v>
      </c>
      <c r="G173" s="4"/>
      <c r="H173" s="4"/>
      <c r="I173" s="4"/>
      <c r="J173" s="4"/>
      <c r="K173" s="4">
        <v>16.494062</v>
      </c>
      <c r="L173" s="4">
        <v>12.727830000000001</v>
      </c>
      <c r="M173" s="4"/>
      <c r="N173" s="4"/>
      <c r="O173" s="4"/>
      <c r="P173" s="4"/>
      <c r="Q173" s="1" t="s">
        <v>429</v>
      </c>
      <c r="R173" s="1">
        <v>1</v>
      </c>
    </row>
    <row r="174" spans="1:19" x14ac:dyDescent="0.25">
      <c r="A174" s="3" t="s">
        <v>422</v>
      </c>
      <c r="B174" s="4">
        <v>0.44285664000000002</v>
      </c>
      <c r="C174" s="4">
        <v>0.30804791999999998</v>
      </c>
      <c r="D174" s="4">
        <v>0.95219940000000003</v>
      </c>
      <c r="E174" s="4">
        <v>0.42393946999999998</v>
      </c>
      <c r="F174" s="4">
        <f t="shared" si="2"/>
        <v>0.95219940000000003</v>
      </c>
      <c r="G174" s="4"/>
      <c r="H174" s="4"/>
      <c r="I174" s="4"/>
      <c r="J174" s="4"/>
      <c r="K174" s="4">
        <v>16.195919</v>
      </c>
      <c r="L174" s="4">
        <v>11.917033999999999</v>
      </c>
      <c r="M174" s="4"/>
      <c r="N174" s="4"/>
      <c r="O174" s="4"/>
      <c r="P174" s="4"/>
      <c r="Q174" s="7" t="s">
        <v>423</v>
      </c>
      <c r="R174" s="1">
        <v>0</v>
      </c>
    </row>
    <row r="175" spans="1:19" x14ac:dyDescent="0.25">
      <c r="A175" s="3" t="s">
        <v>184</v>
      </c>
      <c r="B175" s="4">
        <v>0.72152775999999996</v>
      </c>
      <c r="C175" s="4">
        <v>0.96416749999999996</v>
      </c>
      <c r="D175" s="4">
        <v>0.90581579999999995</v>
      </c>
      <c r="E175" s="4">
        <v>0.59554446000000005</v>
      </c>
      <c r="F175" s="4">
        <f t="shared" si="2"/>
        <v>0.96416749999999996</v>
      </c>
      <c r="G175" s="4">
        <v>15.949066</v>
      </c>
      <c r="H175" s="4">
        <v>39.009360000000001</v>
      </c>
      <c r="I175" s="4">
        <v>43.373779999999996</v>
      </c>
      <c r="J175" s="4">
        <v>15.342435</v>
      </c>
      <c r="K175" s="4"/>
      <c r="L175" s="4"/>
      <c r="M175" s="4"/>
      <c r="N175" s="4"/>
      <c r="O175" s="4"/>
      <c r="P175" s="4"/>
      <c r="Q175" s="1" t="s">
        <v>185</v>
      </c>
      <c r="R175" s="1">
        <v>0</v>
      </c>
      <c r="S175"/>
    </row>
    <row r="176" spans="1:19" x14ac:dyDescent="0.25">
      <c r="A176" s="3" t="s">
        <v>412</v>
      </c>
      <c r="B176" s="4">
        <v>8.7311020000000003E-2</v>
      </c>
      <c r="C176" s="4">
        <v>4.5929869999999998E-3</v>
      </c>
      <c r="D176" s="4">
        <v>0.99979249999999997</v>
      </c>
      <c r="E176" s="4">
        <v>0.36879662000000002</v>
      </c>
      <c r="F176" s="4">
        <f t="shared" si="2"/>
        <v>0.99979249999999997</v>
      </c>
      <c r="G176" s="4"/>
      <c r="H176" s="4"/>
      <c r="I176" s="4"/>
      <c r="J176" s="4"/>
      <c r="K176" s="4">
        <v>15.491104999999999</v>
      </c>
      <c r="L176" s="4">
        <v>13.233451000000001</v>
      </c>
      <c r="M176" s="4"/>
      <c r="N176" s="4"/>
      <c r="O176" s="4"/>
      <c r="P176" s="4"/>
      <c r="Q176" s="1" t="s">
        <v>413</v>
      </c>
      <c r="R176" s="1">
        <v>0</v>
      </c>
    </row>
    <row r="177" spans="1:19" x14ac:dyDescent="0.25">
      <c r="A177" s="3" t="s">
        <v>20</v>
      </c>
      <c r="B177" s="4">
        <v>0.99825470000000005</v>
      </c>
      <c r="C177" s="4">
        <v>2.0893253000000001E-2</v>
      </c>
      <c r="D177" s="4">
        <v>0.59157649999999995</v>
      </c>
      <c r="E177" s="4">
        <v>0.97891974000000004</v>
      </c>
      <c r="F177" s="4">
        <f t="shared" si="2"/>
        <v>0.99825470000000005</v>
      </c>
      <c r="G177" s="4"/>
      <c r="H177" s="4"/>
      <c r="I177" s="4"/>
      <c r="J177" s="4"/>
      <c r="K177" s="4"/>
      <c r="L177" s="4"/>
      <c r="M177" s="4">
        <v>14.654166</v>
      </c>
      <c r="N177" s="4">
        <v>0.15044571000000001</v>
      </c>
      <c r="O177" s="4">
        <v>17.141714</v>
      </c>
      <c r="P177" s="4">
        <v>14.217835000000001</v>
      </c>
      <c r="Q177" s="1" t="s">
        <v>21</v>
      </c>
      <c r="R177" s="1">
        <v>1</v>
      </c>
    </row>
    <row r="178" spans="1:19" x14ac:dyDescent="0.25">
      <c r="A178" s="3" t="s">
        <v>110</v>
      </c>
      <c r="B178" s="4">
        <v>0.95212019999999997</v>
      </c>
      <c r="C178" s="4">
        <v>0.16568503000000001</v>
      </c>
      <c r="D178" s="4">
        <v>0.99993694</v>
      </c>
      <c r="E178" s="4">
        <v>0.85466339999999996</v>
      </c>
      <c r="F178" s="4">
        <f t="shared" si="2"/>
        <v>0.99993694</v>
      </c>
      <c r="G178" s="4"/>
      <c r="H178" s="4"/>
      <c r="I178" s="4"/>
      <c r="J178" s="4"/>
      <c r="K178" s="4">
        <v>16.054995000000002</v>
      </c>
      <c r="L178" s="4">
        <v>12.305244</v>
      </c>
      <c r="M178" s="4"/>
      <c r="N178" s="4"/>
      <c r="O178" s="4">
        <v>16.345113999999999</v>
      </c>
      <c r="P178" s="4">
        <v>13.061392</v>
      </c>
      <c r="Q178" s="1" t="s">
        <v>111</v>
      </c>
      <c r="R178" s="1">
        <v>1</v>
      </c>
    </row>
    <row r="179" spans="1:19" x14ac:dyDescent="0.25">
      <c r="A179" s="3" t="s">
        <v>176</v>
      </c>
      <c r="B179" s="4">
        <v>0.37140220000000002</v>
      </c>
      <c r="C179" s="4">
        <v>0.99568533999999997</v>
      </c>
      <c r="D179" s="4">
        <v>8.3526799999999998E-2</v>
      </c>
      <c r="E179" s="4">
        <v>0.74632080000000001</v>
      </c>
      <c r="F179" s="4">
        <f t="shared" si="2"/>
        <v>0.99568533999999997</v>
      </c>
      <c r="G179" s="4">
        <v>15.318749</v>
      </c>
      <c r="H179" s="4">
        <v>40.153675</v>
      </c>
      <c r="I179" s="4">
        <v>38.777316999999996</v>
      </c>
      <c r="J179" s="4">
        <v>14.039847999999999</v>
      </c>
      <c r="K179" s="4"/>
      <c r="L179" s="4"/>
      <c r="M179" s="4"/>
      <c r="N179" s="4"/>
      <c r="O179" s="4"/>
      <c r="P179" s="4"/>
      <c r="Q179" s="1" t="s">
        <v>177</v>
      </c>
      <c r="R179" s="1">
        <v>1</v>
      </c>
      <c r="S179"/>
    </row>
    <row r="180" spans="1:19" x14ac:dyDescent="0.25">
      <c r="A180" s="3" t="s">
        <v>424</v>
      </c>
      <c r="B180" s="4">
        <v>0.70585180000000003</v>
      </c>
      <c r="C180" s="4">
        <v>4.8104078000000002E-2</v>
      </c>
      <c r="D180" s="4">
        <v>0.9824484</v>
      </c>
      <c r="E180" s="4">
        <v>0.59235877000000003</v>
      </c>
      <c r="F180" s="4">
        <f t="shared" si="2"/>
        <v>0.9824484</v>
      </c>
      <c r="G180" s="4"/>
      <c r="H180" s="4"/>
      <c r="I180" s="4"/>
      <c r="J180" s="4"/>
      <c r="K180" s="4">
        <v>16.250606999999999</v>
      </c>
      <c r="L180" s="4">
        <v>14.622455</v>
      </c>
      <c r="M180" s="4"/>
      <c r="N180" s="4"/>
      <c r="O180" s="4"/>
      <c r="P180" s="4"/>
      <c r="Q180" s="1" t="s">
        <v>425</v>
      </c>
      <c r="R180" s="1">
        <v>1</v>
      </c>
    </row>
    <row r="181" spans="1:19" x14ac:dyDescent="0.25">
      <c r="A181" s="3" t="s">
        <v>100</v>
      </c>
      <c r="B181" s="4">
        <v>0.96739923999999999</v>
      </c>
      <c r="C181" s="4">
        <v>0.2697233</v>
      </c>
      <c r="D181" s="4">
        <v>0.77534020000000003</v>
      </c>
      <c r="E181" s="4">
        <v>0.66397583000000004</v>
      </c>
      <c r="F181" s="4">
        <f t="shared" si="2"/>
        <v>0.96739923999999999</v>
      </c>
      <c r="G181" s="4"/>
      <c r="H181" s="4"/>
      <c r="I181" s="4"/>
      <c r="J181" s="4"/>
      <c r="K181" s="4"/>
      <c r="L181" s="4"/>
      <c r="M181" s="4"/>
      <c r="N181" s="4"/>
      <c r="O181" s="4">
        <v>16.244019999999999</v>
      </c>
      <c r="P181" s="4">
        <v>11.584773999999999</v>
      </c>
      <c r="Q181" s="1" t="s">
        <v>101</v>
      </c>
      <c r="R181" s="1">
        <v>1</v>
      </c>
    </row>
    <row r="182" spans="1:19" x14ac:dyDescent="0.25">
      <c r="A182" s="3" t="s">
        <v>96</v>
      </c>
      <c r="B182" s="4">
        <v>0.99786300000000006</v>
      </c>
      <c r="C182" s="4">
        <v>8.6870990000000004E-4</v>
      </c>
      <c r="D182" s="4">
        <v>0.93995879999999998</v>
      </c>
      <c r="E182" s="4">
        <v>0.76595299999999999</v>
      </c>
      <c r="F182" s="4">
        <f t="shared" si="2"/>
        <v>0.99786300000000006</v>
      </c>
      <c r="G182" s="4"/>
      <c r="H182" s="4"/>
      <c r="I182" s="4"/>
      <c r="J182" s="4"/>
      <c r="K182" s="4"/>
      <c r="L182" s="4"/>
      <c r="M182" s="4"/>
      <c r="N182" s="4"/>
      <c r="O182" s="4">
        <v>17.142063</v>
      </c>
      <c r="P182" s="4">
        <v>13.475016</v>
      </c>
      <c r="Q182" s="1" t="s">
        <v>97</v>
      </c>
      <c r="R182" s="1">
        <v>1</v>
      </c>
      <c r="S182"/>
    </row>
    <row r="183" spans="1:19" x14ac:dyDescent="0.25">
      <c r="A183" s="3" t="s">
        <v>160</v>
      </c>
      <c r="B183" s="4">
        <v>0.67887293999999998</v>
      </c>
      <c r="C183" s="4">
        <v>0.95594287</v>
      </c>
      <c r="D183" s="4">
        <v>0.9978745</v>
      </c>
      <c r="E183" s="4">
        <v>0.58309655999999999</v>
      </c>
      <c r="F183" s="4">
        <f t="shared" si="2"/>
        <v>0.9978745</v>
      </c>
      <c r="G183" s="4">
        <v>15.415546000000001</v>
      </c>
      <c r="H183" s="4">
        <v>42.850169999999999</v>
      </c>
      <c r="I183" s="4">
        <v>44.430079999999997</v>
      </c>
      <c r="J183" s="4">
        <v>15.614248</v>
      </c>
      <c r="K183" s="4">
        <v>16.496162000000002</v>
      </c>
      <c r="L183" s="4">
        <v>12.059545</v>
      </c>
      <c r="M183" s="4"/>
      <c r="N183" s="4"/>
      <c r="O183" s="4"/>
      <c r="P183" s="4"/>
      <c r="Q183" s="1" t="s">
        <v>161</v>
      </c>
      <c r="R183" s="1">
        <v>1</v>
      </c>
      <c r="S183"/>
    </row>
    <row r="184" spans="1:19" x14ac:dyDescent="0.25">
      <c r="A184" s="3" t="s">
        <v>458</v>
      </c>
      <c r="B184" s="4">
        <v>4.6537839999999997E-2</v>
      </c>
      <c r="C184" s="4">
        <v>7.9882250000000002E-2</v>
      </c>
      <c r="D184" s="4">
        <v>0.91772836000000002</v>
      </c>
      <c r="E184" s="4">
        <v>0.98648060000000004</v>
      </c>
      <c r="F184" s="4">
        <f t="shared" si="2"/>
        <v>0.98648060000000004</v>
      </c>
      <c r="G184" s="4"/>
      <c r="H184" s="4"/>
      <c r="I184" s="4"/>
      <c r="J184" s="4"/>
      <c r="K184" s="4"/>
      <c r="L184" s="4"/>
      <c r="M184" s="4">
        <v>10.786932999999999</v>
      </c>
      <c r="N184" s="4">
        <v>0.15044571000000001</v>
      </c>
      <c r="O184" s="4"/>
      <c r="P184" s="4"/>
      <c r="Q184" s="1" t="s">
        <v>459</v>
      </c>
      <c r="R184" s="1">
        <v>1</v>
      </c>
      <c r="S184"/>
    </row>
    <row r="185" spans="1:19" x14ac:dyDescent="0.25">
      <c r="A185" s="3" t="s">
        <v>262</v>
      </c>
      <c r="B185" s="4">
        <v>0.47116540000000001</v>
      </c>
      <c r="C185" s="4">
        <v>0.97488209999999997</v>
      </c>
      <c r="D185" s="4">
        <v>0.97213430000000001</v>
      </c>
      <c r="E185" s="4">
        <v>0.43019378000000003</v>
      </c>
      <c r="F185" s="4">
        <f t="shared" si="2"/>
        <v>0.97488209999999997</v>
      </c>
      <c r="G185" s="4">
        <v>15.960169</v>
      </c>
      <c r="H185" s="4">
        <v>42.456375000000001</v>
      </c>
      <c r="I185" s="4">
        <v>39.467677999999999</v>
      </c>
      <c r="J185" s="4">
        <v>14.52936</v>
      </c>
      <c r="K185" s="4">
        <v>16.487494999999999</v>
      </c>
      <c r="L185" s="4">
        <v>12.220656</v>
      </c>
      <c r="M185" s="4"/>
      <c r="N185" s="4"/>
      <c r="O185" s="4"/>
      <c r="P185" s="4"/>
      <c r="Q185" s="1" t="s">
        <v>263</v>
      </c>
      <c r="R185" s="1">
        <v>0</v>
      </c>
      <c r="S185"/>
    </row>
    <row r="186" spans="1:19" x14ac:dyDescent="0.25">
      <c r="A186" s="3" t="s">
        <v>50</v>
      </c>
      <c r="B186" s="4">
        <v>0.98125905000000002</v>
      </c>
      <c r="C186" s="4">
        <v>8.2647869999999998E-2</v>
      </c>
      <c r="D186" s="4">
        <v>0.90606600000000004</v>
      </c>
      <c r="E186" s="4">
        <v>0.65951099999999996</v>
      </c>
      <c r="F186" s="4">
        <f t="shared" si="2"/>
        <v>0.98125905000000002</v>
      </c>
      <c r="G186" s="4"/>
      <c r="H186" s="4"/>
      <c r="I186" s="4"/>
      <c r="J186" s="4"/>
      <c r="K186" s="4"/>
      <c r="L186" s="4"/>
      <c r="M186" s="4"/>
      <c r="N186" s="4"/>
      <c r="O186" s="4">
        <v>15.857801</v>
      </c>
      <c r="P186" s="4">
        <v>13.539974000000001</v>
      </c>
      <c r="Q186" s="1" t="s">
        <v>51</v>
      </c>
      <c r="R186" s="1">
        <v>1</v>
      </c>
      <c r="S186"/>
    </row>
    <row r="187" spans="1:19" x14ac:dyDescent="0.25">
      <c r="A187" s="3" t="s">
        <v>64</v>
      </c>
      <c r="B187" s="4">
        <v>0.9762383</v>
      </c>
      <c r="C187" s="4">
        <v>8.945989E-2</v>
      </c>
      <c r="D187" s="4">
        <v>0.94732463</v>
      </c>
      <c r="E187" s="4">
        <v>0.74307202999999999</v>
      </c>
      <c r="F187" s="4">
        <f t="shared" si="2"/>
        <v>0.9762383</v>
      </c>
      <c r="G187" s="4"/>
      <c r="H187" s="4"/>
      <c r="I187" s="4"/>
      <c r="J187" s="4"/>
      <c r="K187" s="4"/>
      <c r="L187" s="4"/>
      <c r="M187" s="4"/>
      <c r="N187" s="4"/>
      <c r="O187" s="4">
        <v>16.142714000000002</v>
      </c>
      <c r="P187" s="4">
        <v>13.204178000000001</v>
      </c>
      <c r="Q187" s="1" t="s">
        <v>65</v>
      </c>
      <c r="R187" s="1">
        <v>1</v>
      </c>
      <c r="S187"/>
    </row>
    <row r="188" spans="1:19" x14ac:dyDescent="0.25">
      <c r="A188" s="3" t="s">
        <v>158</v>
      </c>
      <c r="B188" s="4">
        <v>0.40434963000000002</v>
      </c>
      <c r="C188" s="4">
        <v>0.99720012999999996</v>
      </c>
      <c r="D188" s="4">
        <v>0.61924809999999997</v>
      </c>
      <c r="E188" s="4">
        <v>0.79489849999999995</v>
      </c>
      <c r="F188" s="4">
        <f t="shared" si="2"/>
        <v>0.99720012999999996</v>
      </c>
      <c r="G188" s="4">
        <v>15.943168999999999</v>
      </c>
      <c r="H188" s="4">
        <v>37.435527999999998</v>
      </c>
      <c r="I188" s="4">
        <v>39.426130000000001</v>
      </c>
      <c r="J188" s="4">
        <v>14.051288</v>
      </c>
      <c r="K188" s="4"/>
      <c r="L188" s="4"/>
      <c r="M188" s="4"/>
      <c r="N188" s="4"/>
      <c r="O188" s="4"/>
      <c r="P188" s="4"/>
      <c r="Q188" s="11" t="s">
        <v>159</v>
      </c>
      <c r="R188" s="1">
        <v>0</v>
      </c>
      <c r="S188"/>
    </row>
    <row r="189" spans="1:19" x14ac:dyDescent="0.25">
      <c r="A189" s="3" t="s">
        <v>252</v>
      </c>
      <c r="B189" s="4">
        <v>0.32177725000000001</v>
      </c>
      <c r="C189" s="4">
        <v>0.97881246</v>
      </c>
      <c r="D189" s="4">
        <v>0.48613983</v>
      </c>
      <c r="E189" s="4">
        <v>0.61529809999999996</v>
      </c>
      <c r="F189" s="4">
        <f t="shared" si="2"/>
        <v>0.97881246</v>
      </c>
      <c r="G189" s="4">
        <v>14.877181999999999</v>
      </c>
      <c r="H189" s="4">
        <v>37.409785999999997</v>
      </c>
      <c r="I189" s="4">
        <v>38.722496</v>
      </c>
      <c r="J189" s="4">
        <v>13.149767000000001</v>
      </c>
      <c r="K189" s="4"/>
      <c r="L189" s="4"/>
      <c r="M189" s="4"/>
      <c r="N189" s="4"/>
      <c r="O189" s="4"/>
      <c r="P189" s="4"/>
      <c r="Q189" s="1" t="s">
        <v>253</v>
      </c>
      <c r="R189" s="1">
        <v>0</v>
      </c>
      <c r="S189"/>
    </row>
    <row r="190" spans="1:19" x14ac:dyDescent="0.25">
      <c r="A190" s="1" t="s">
        <v>6</v>
      </c>
      <c r="B190" s="4">
        <v>0.97048014000000005</v>
      </c>
      <c r="C190" s="4">
        <v>0.11429880000000001</v>
      </c>
      <c r="D190" s="4">
        <v>0.73929805000000004</v>
      </c>
      <c r="E190" s="4">
        <v>0.89971124999999996</v>
      </c>
      <c r="F190" s="4">
        <f t="shared" si="2"/>
        <v>0.97048014000000005</v>
      </c>
      <c r="G190" s="4"/>
      <c r="H190" s="4"/>
      <c r="I190" s="4"/>
      <c r="J190" s="4"/>
      <c r="K190" s="4"/>
      <c r="L190" s="4"/>
      <c r="M190" s="4"/>
      <c r="N190" s="4"/>
      <c r="O190" s="4">
        <v>16.119669999999999</v>
      </c>
      <c r="P190" s="4">
        <v>14.054885000000001</v>
      </c>
      <c r="Q190" s="1" t="s">
        <v>7</v>
      </c>
      <c r="R190" s="1">
        <v>1</v>
      </c>
    </row>
    <row r="191" spans="1:19" x14ac:dyDescent="0.25">
      <c r="A191" s="3" t="s">
        <v>396</v>
      </c>
      <c r="B191" s="4">
        <v>0.88730609999999999</v>
      </c>
      <c r="C191" s="4">
        <v>0.11957975</v>
      </c>
      <c r="D191" s="4">
        <v>0.95540709999999995</v>
      </c>
      <c r="E191" s="4">
        <v>0.41197420000000001</v>
      </c>
      <c r="F191" s="4">
        <f t="shared" si="2"/>
        <v>0.95540709999999995</v>
      </c>
      <c r="G191" s="4"/>
      <c r="H191" s="4"/>
      <c r="I191" s="4"/>
      <c r="J191" s="4"/>
      <c r="K191" s="4">
        <v>16.496162000000002</v>
      </c>
      <c r="L191" s="4">
        <v>13.057109000000001</v>
      </c>
      <c r="M191" s="4"/>
      <c r="N191" s="4"/>
      <c r="O191" s="4"/>
      <c r="P191" s="4"/>
      <c r="Q191" s="7" t="s">
        <v>397</v>
      </c>
      <c r="R191" s="1">
        <v>0</v>
      </c>
      <c r="S191"/>
    </row>
    <row r="192" spans="1:19" x14ac:dyDescent="0.25">
      <c r="A192" s="3" t="s">
        <v>10</v>
      </c>
      <c r="B192" s="4">
        <v>0.95283689999999999</v>
      </c>
      <c r="C192" s="4">
        <v>0.23027726000000001</v>
      </c>
      <c r="D192" s="4">
        <v>0.90796924000000001</v>
      </c>
      <c r="E192" s="4">
        <v>0.91999640000000005</v>
      </c>
      <c r="F192" s="4">
        <f t="shared" si="2"/>
        <v>0.95283689999999999</v>
      </c>
      <c r="G192" s="4"/>
      <c r="H192" s="4"/>
      <c r="I192" s="4"/>
      <c r="J192" s="4"/>
      <c r="K192" s="4"/>
      <c r="L192" s="4"/>
      <c r="M192" s="4"/>
      <c r="N192" s="4"/>
      <c r="O192" s="4">
        <v>16.728415999999999</v>
      </c>
      <c r="P192" s="4">
        <v>13.044435500000001</v>
      </c>
      <c r="Q192" s="1" t="s">
        <v>11</v>
      </c>
      <c r="R192" s="1">
        <v>1</v>
      </c>
      <c r="S192"/>
    </row>
    <row r="193" spans="1:19" x14ac:dyDescent="0.25">
      <c r="A193" s="3" t="s">
        <v>124</v>
      </c>
      <c r="B193" s="4">
        <v>0.47526099999999999</v>
      </c>
      <c r="C193" s="4">
        <v>0.95502125999999998</v>
      </c>
      <c r="D193" s="4">
        <v>0.79195400000000005</v>
      </c>
      <c r="E193" s="4">
        <v>0.56380045000000001</v>
      </c>
      <c r="F193" s="4">
        <f t="shared" si="2"/>
        <v>0.95502125999999998</v>
      </c>
      <c r="G193" s="4">
        <v>15.259361</v>
      </c>
      <c r="H193" s="4">
        <v>38.801785000000002</v>
      </c>
      <c r="I193" s="4">
        <v>39.072856999999999</v>
      </c>
      <c r="J193" s="4">
        <v>14.440706</v>
      </c>
      <c r="K193" s="4"/>
      <c r="L193" s="4"/>
      <c r="M193" s="4"/>
      <c r="N193" s="4"/>
      <c r="O193" s="4"/>
      <c r="P193" s="4"/>
      <c r="Q193" s="1" t="s">
        <v>125</v>
      </c>
      <c r="R193" s="1">
        <v>1</v>
      </c>
      <c r="S193"/>
    </row>
    <row r="194" spans="1:19" x14ac:dyDescent="0.25">
      <c r="A194" s="3" t="s">
        <v>192</v>
      </c>
      <c r="B194" s="4">
        <v>0.37465726999999999</v>
      </c>
      <c r="C194" s="4">
        <v>0.95869890000000002</v>
      </c>
      <c r="D194" s="4">
        <v>0.54174805000000004</v>
      </c>
      <c r="E194" s="4">
        <v>0.50084793999999999</v>
      </c>
      <c r="F194" s="4">
        <f t="shared" ref="F194:F257" si="3">MAX(B194:E194)</f>
        <v>0.95869890000000002</v>
      </c>
      <c r="G194" s="4">
        <v>15.890738499999999</v>
      </c>
      <c r="H194" s="4">
        <v>38.911513999999997</v>
      </c>
      <c r="I194" s="4">
        <v>39.574992999999999</v>
      </c>
      <c r="J194" s="4">
        <v>14.28055</v>
      </c>
      <c r="K194" s="4"/>
      <c r="L194" s="4"/>
      <c r="M194" s="4"/>
      <c r="N194" s="4"/>
      <c r="O194" s="4"/>
      <c r="P194" s="4"/>
      <c r="Q194" s="1" t="s">
        <v>193</v>
      </c>
      <c r="R194" s="1">
        <v>0</v>
      </c>
      <c r="S194"/>
    </row>
    <row r="195" spans="1:19" x14ac:dyDescent="0.25">
      <c r="A195" s="3" t="s">
        <v>168</v>
      </c>
      <c r="B195" s="4">
        <v>0.40921235</v>
      </c>
      <c r="C195" s="4">
        <v>0.97731506999999995</v>
      </c>
      <c r="D195" s="4">
        <v>0.50501054999999995</v>
      </c>
      <c r="E195" s="4">
        <v>0.54446499999999998</v>
      </c>
      <c r="F195" s="4">
        <f t="shared" si="3"/>
        <v>0.97731506999999995</v>
      </c>
      <c r="G195" s="4">
        <v>15.368895</v>
      </c>
      <c r="H195" s="4">
        <v>38.201262999999997</v>
      </c>
      <c r="I195" s="4">
        <v>37.808715999999997</v>
      </c>
      <c r="J195" s="4">
        <v>14.189403</v>
      </c>
      <c r="K195" s="4"/>
      <c r="L195" s="4"/>
      <c r="M195" s="4"/>
      <c r="N195" s="4"/>
      <c r="O195" s="4"/>
      <c r="P195" s="4"/>
      <c r="Q195" s="1" t="s">
        <v>169</v>
      </c>
      <c r="R195" s="1">
        <v>0</v>
      </c>
      <c r="S195"/>
    </row>
    <row r="196" spans="1:19" x14ac:dyDescent="0.25">
      <c r="A196" s="3" t="s">
        <v>18</v>
      </c>
      <c r="B196" s="4">
        <v>0.97107094999999999</v>
      </c>
      <c r="C196" s="4">
        <v>0.99822469999999996</v>
      </c>
      <c r="D196" s="4">
        <v>0.99999976000000002</v>
      </c>
      <c r="E196" s="4">
        <v>0.97810039999999998</v>
      </c>
      <c r="F196" s="4">
        <f t="shared" si="3"/>
        <v>0.99999976000000002</v>
      </c>
      <c r="G196" s="4">
        <v>15.411694000000001</v>
      </c>
      <c r="H196" s="4">
        <v>44.880474</v>
      </c>
      <c r="I196" s="4">
        <v>42.274790000000003</v>
      </c>
      <c r="J196" s="4">
        <v>16.346045</v>
      </c>
      <c r="K196" s="4">
        <v>16.192646</v>
      </c>
      <c r="L196" s="4">
        <v>12.808325</v>
      </c>
      <c r="M196" s="4">
        <v>11.8353</v>
      </c>
      <c r="N196" s="4">
        <v>0.15044571000000001</v>
      </c>
      <c r="O196" s="4">
        <v>16.973244000000001</v>
      </c>
      <c r="P196" s="4">
        <v>12.246861000000001</v>
      </c>
      <c r="Q196" s="1" t="s">
        <v>19</v>
      </c>
      <c r="R196" s="1">
        <v>1</v>
      </c>
      <c r="S196"/>
    </row>
    <row r="197" spans="1:19" x14ac:dyDescent="0.25">
      <c r="A197" s="3" t="s">
        <v>26</v>
      </c>
      <c r="B197" s="4">
        <v>0.97253270000000003</v>
      </c>
      <c r="C197" s="4">
        <v>0.69783550000000005</v>
      </c>
      <c r="D197" s="4">
        <v>0.99999930000000004</v>
      </c>
      <c r="E197" s="4">
        <v>0.68105685999999999</v>
      </c>
      <c r="F197" s="4">
        <f t="shared" si="3"/>
        <v>0.99999930000000004</v>
      </c>
      <c r="G197" s="4"/>
      <c r="H197" s="4"/>
      <c r="I197" s="4"/>
      <c r="J197" s="4"/>
      <c r="K197" s="4">
        <v>16.573765000000002</v>
      </c>
      <c r="L197" s="4">
        <v>13.723951</v>
      </c>
      <c r="M197" s="4"/>
      <c r="N197" s="4"/>
      <c r="O197" s="4">
        <v>17.042777999999998</v>
      </c>
      <c r="P197" s="4">
        <v>12.925342000000001</v>
      </c>
      <c r="Q197" s="1" t="s">
        <v>27</v>
      </c>
      <c r="R197" s="1">
        <v>1</v>
      </c>
    </row>
    <row r="198" spans="1:19" x14ac:dyDescent="0.25">
      <c r="A198" s="3" t="s">
        <v>80</v>
      </c>
      <c r="B198" s="4">
        <v>0.98972789999999999</v>
      </c>
      <c r="C198" s="4">
        <v>0.89748954999999997</v>
      </c>
      <c r="D198" s="4">
        <v>0.99998189999999998</v>
      </c>
      <c r="E198" s="4">
        <v>0.53824263999999999</v>
      </c>
      <c r="F198" s="4">
        <f t="shared" si="3"/>
        <v>0.99998189999999998</v>
      </c>
      <c r="G198" s="4"/>
      <c r="H198" s="4"/>
      <c r="I198" s="4"/>
      <c r="J198" s="4"/>
      <c r="K198" s="4">
        <v>15.740266999999999</v>
      </c>
      <c r="L198" s="4">
        <v>13.423727</v>
      </c>
      <c r="M198" s="4"/>
      <c r="N198" s="4"/>
      <c r="O198" s="4">
        <v>17.017578</v>
      </c>
      <c r="P198" s="4">
        <v>13.278585</v>
      </c>
      <c r="Q198" s="1" t="s">
        <v>81</v>
      </c>
      <c r="R198" s="1">
        <v>1</v>
      </c>
      <c r="S198"/>
    </row>
    <row r="199" spans="1:19" x14ac:dyDescent="0.25">
      <c r="A199" s="3" t="s">
        <v>66</v>
      </c>
      <c r="B199" s="4">
        <v>0.99318092999999996</v>
      </c>
      <c r="C199" s="4">
        <v>0.99618430000000002</v>
      </c>
      <c r="D199" s="4">
        <v>1.2382939000000001E-2</v>
      </c>
      <c r="E199" s="4">
        <v>0.98444485999999998</v>
      </c>
      <c r="F199" s="4">
        <f t="shared" si="3"/>
        <v>0.99618430000000002</v>
      </c>
      <c r="G199" s="4">
        <v>15.453756</v>
      </c>
      <c r="H199" s="4">
        <v>37.923229999999997</v>
      </c>
      <c r="I199" s="4">
        <v>48.612507000000001</v>
      </c>
      <c r="J199" s="4">
        <v>16.570530000000002</v>
      </c>
      <c r="K199" s="4"/>
      <c r="L199" s="4"/>
      <c r="M199" s="4">
        <v>14.089492999999999</v>
      </c>
      <c r="N199" s="4">
        <v>0.14231199</v>
      </c>
      <c r="O199" s="4">
        <v>17.149553000000001</v>
      </c>
      <c r="P199" s="4">
        <v>13.571325</v>
      </c>
      <c r="Q199" s="1" t="s">
        <v>67</v>
      </c>
      <c r="R199" s="1">
        <v>1</v>
      </c>
    </row>
    <row r="200" spans="1:19" x14ac:dyDescent="0.25">
      <c r="A200" s="3" t="s">
        <v>114</v>
      </c>
      <c r="B200" s="4">
        <v>0.99534106</v>
      </c>
      <c r="C200" s="4">
        <v>0.19047243999999999</v>
      </c>
      <c r="D200" s="4">
        <v>0.52581089999999997</v>
      </c>
      <c r="E200" s="4">
        <v>0.96389630000000004</v>
      </c>
      <c r="F200" s="4">
        <f t="shared" si="3"/>
        <v>0.99534106</v>
      </c>
      <c r="G200" s="4"/>
      <c r="H200" s="4"/>
      <c r="I200" s="4"/>
      <c r="J200" s="4"/>
      <c r="K200" s="4"/>
      <c r="L200" s="4"/>
      <c r="M200" s="4">
        <v>13.164161999999999</v>
      </c>
      <c r="N200" s="4">
        <v>0.15044571000000001</v>
      </c>
      <c r="O200" s="4">
        <v>17.141714</v>
      </c>
      <c r="P200" s="4">
        <v>13.668006999999999</v>
      </c>
      <c r="Q200" s="1" t="s">
        <v>115</v>
      </c>
      <c r="R200" s="1">
        <v>1</v>
      </c>
    </row>
    <row r="201" spans="1:19" x14ac:dyDescent="0.25">
      <c r="A201" s="3" t="s">
        <v>466</v>
      </c>
      <c r="B201" s="4">
        <v>0.49219590000000002</v>
      </c>
      <c r="C201" s="4">
        <v>2.2797048E-2</v>
      </c>
      <c r="D201" s="4">
        <v>0.77553229999999995</v>
      </c>
      <c r="E201" s="4">
        <v>0.99029460000000002</v>
      </c>
      <c r="F201" s="4">
        <f t="shared" si="3"/>
        <v>0.99029460000000002</v>
      </c>
      <c r="G201" s="4"/>
      <c r="H201" s="4"/>
      <c r="I201" s="4"/>
      <c r="J201" s="4"/>
      <c r="K201" s="4"/>
      <c r="L201" s="4"/>
      <c r="M201" s="4">
        <v>12.050369</v>
      </c>
      <c r="N201" s="4">
        <v>0.15044571000000001</v>
      </c>
      <c r="O201" s="4"/>
      <c r="P201" s="4"/>
      <c r="Q201" s="1" t="s">
        <v>467</v>
      </c>
      <c r="R201" s="1">
        <v>1</v>
      </c>
    </row>
    <row r="202" spans="1:19" x14ac:dyDescent="0.25">
      <c r="A202" s="3" t="s">
        <v>122</v>
      </c>
      <c r="B202" s="4">
        <v>0.34362179999999998</v>
      </c>
      <c r="C202" s="4">
        <v>0.98920750000000002</v>
      </c>
      <c r="D202" s="4">
        <v>0.30356607000000002</v>
      </c>
      <c r="E202" s="4">
        <v>0.93087470000000005</v>
      </c>
      <c r="F202" s="4">
        <f t="shared" si="3"/>
        <v>0.98920750000000002</v>
      </c>
      <c r="G202" s="4">
        <v>15.949066</v>
      </c>
      <c r="H202" s="4">
        <v>40.478634</v>
      </c>
      <c r="I202" s="4">
        <v>38.223170000000003</v>
      </c>
      <c r="J202" s="4">
        <v>14.370915999999999</v>
      </c>
      <c r="K202" s="4"/>
      <c r="L202" s="4"/>
      <c r="M202" s="4"/>
      <c r="N202" s="4"/>
      <c r="O202" s="4"/>
      <c r="P202" s="4"/>
      <c r="Q202" s="1" t="s">
        <v>123</v>
      </c>
      <c r="R202" s="1">
        <v>1</v>
      </c>
    </row>
    <row r="203" spans="1:19" x14ac:dyDescent="0.25">
      <c r="A203" s="3" t="s">
        <v>82</v>
      </c>
      <c r="B203" s="4">
        <v>0.98785829999999997</v>
      </c>
      <c r="C203" s="4">
        <v>9.2673779999999997E-2</v>
      </c>
      <c r="D203" s="4">
        <v>0.86126614000000001</v>
      </c>
      <c r="E203" s="4">
        <v>0.92941980000000002</v>
      </c>
      <c r="F203" s="4">
        <f t="shared" si="3"/>
        <v>0.98785829999999997</v>
      </c>
      <c r="G203" s="4"/>
      <c r="H203" s="4"/>
      <c r="I203" s="4"/>
      <c r="J203" s="4"/>
      <c r="K203" s="4"/>
      <c r="L203" s="4"/>
      <c r="M203" s="4"/>
      <c r="N203" s="4"/>
      <c r="O203" s="4">
        <v>17.116040000000002</v>
      </c>
      <c r="P203" s="4">
        <v>12.601148999999999</v>
      </c>
      <c r="Q203" s="1" t="s">
        <v>83</v>
      </c>
      <c r="R203" s="1">
        <v>1</v>
      </c>
    </row>
    <row r="204" spans="1:19" x14ac:dyDescent="0.25">
      <c r="A204" s="3" t="s">
        <v>24</v>
      </c>
      <c r="B204" s="4">
        <v>0.98382365999999999</v>
      </c>
      <c r="C204" s="4">
        <v>0.17707597</v>
      </c>
      <c r="D204" s="4">
        <v>0.71892166000000002</v>
      </c>
      <c r="E204" s="4">
        <v>0.92381559999999996</v>
      </c>
      <c r="F204" s="4">
        <f t="shared" si="3"/>
        <v>0.98382365999999999</v>
      </c>
      <c r="G204" s="4"/>
      <c r="H204" s="4"/>
      <c r="I204" s="4"/>
      <c r="J204" s="4"/>
      <c r="K204" s="4"/>
      <c r="L204" s="4"/>
      <c r="M204" s="4"/>
      <c r="N204" s="4"/>
      <c r="O204" s="4">
        <v>17.141714</v>
      </c>
      <c r="P204" s="4">
        <v>12.678537</v>
      </c>
      <c r="Q204" s="1" t="s">
        <v>25</v>
      </c>
      <c r="R204" s="1">
        <v>1</v>
      </c>
      <c r="S204"/>
    </row>
    <row r="205" spans="1:19" x14ac:dyDescent="0.25">
      <c r="A205" s="3" t="s">
        <v>136</v>
      </c>
      <c r="B205" s="4">
        <v>0.66170470000000003</v>
      </c>
      <c r="C205" s="4">
        <v>0.97154664999999996</v>
      </c>
      <c r="D205" s="4">
        <v>0.98283189999999998</v>
      </c>
      <c r="E205" s="4">
        <v>0.47498083000000002</v>
      </c>
      <c r="F205" s="4">
        <f t="shared" si="3"/>
        <v>0.98283189999999998</v>
      </c>
      <c r="G205" s="4">
        <v>15.895993000000001</v>
      </c>
      <c r="H205" s="4">
        <v>42.340119999999999</v>
      </c>
      <c r="I205" s="4">
        <v>43.025640000000003</v>
      </c>
      <c r="J205" s="4">
        <v>14.812912000000001</v>
      </c>
      <c r="K205" s="4">
        <v>16.233276</v>
      </c>
      <c r="L205" s="4">
        <v>12.109794000000001</v>
      </c>
      <c r="M205" s="4"/>
      <c r="N205" s="4"/>
      <c r="O205" s="4"/>
      <c r="P205" s="4"/>
      <c r="Q205" s="1" t="s">
        <v>137</v>
      </c>
      <c r="R205" s="1">
        <v>1</v>
      </c>
      <c r="S205"/>
    </row>
    <row r="206" spans="1:19" x14ac:dyDescent="0.25">
      <c r="A206" s="3" t="s">
        <v>12</v>
      </c>
      <c r="B206" s="4">
        <v>0.97862950000000004</v>
      </c>
      <c r="C206" s="4">
        <v>0.10449731</v>
      </c>
      <c r="D206" s="4">
        <v>0.94307969999999997</v>
      </c>
      <c r="E206" s="4">
        <v>0.90895950000000003</v>
      </c>
      <c r="F206" s="4">
        <f t="shared" si="3"/>
        <v>0.97862950000000004</v>
      </c>
      <c r="G206" s="4"/>
      <c r="H206" s="4"/>
      <c r="I206" s="4"/>
      <c r="J206" s="4"/>
      <c r="K206" s="4"/>
      <c r="L206" s="4"/>
      <c r="M206" s="4"/>
      <c r="N206" s="4"/>
      <c r="O206" s="4">
        <v>16.299766999999999</v>
      </c>
      <c r="P206" s="4">
        <v>12.875909</v>
      </c>
      <c r="Q206" s="1" t="s">
        <v>13</v>
      </c>
      <c r="R206" s="1">
        <v>1</v>
      </c>
      <c r="S206"/>
    </row>
    <row r="207" spans="1:19" x14ac:dyDescent="0.25">
      <c r="A207" s="3" t="s">
        <v>130</v>
      </c>
      <c r="B207" s="4">
        <v>0.33203787000000001</v>
      </c>
      <c r="C207" s="4">
        <v>0.9783423</v>
      </c>
      <c r="D207" s="4">
        <v>0.48655379999999998</v>
      </c>
      <c r="E207" s="4">
        <v>0.62667810000000002</v>
      </c>
      <c r="F207" s="4">
        <f t="shared" si="3"/>
        <v>0.9783423</v>
      </c>
      <c r="G207" s="4">
        <v>15.910729</v>
      </c>
      <c r="H207" s="4">
        <v>39.044559999999997</v>
      </c>
      <c r="I207" s="4">
        <v>38.599069999999998</v>
      </c>
      <c r="J207" s="4">
        <v>14.246740000000001</v>
      </c>
      <c r="K207" s="4"/>
      <c r="L207" s="4"/>
      <c r="M207" s="4"/>
      <c r="N207" s="4"/>
      <c r="O207" s="4"/>
      <c r="P207" s="4"/>
      <c r="Q207" s="1" t="s">
        <v>131</v>
      </c>
      <c r="R207" s="1">
        <v>1</v>
      </c>
    </row>
    <row r="208" spans="1:19" x14ac:dyDescent="0.25">
      <c r="A208" s="3" t="s">
        <v>48</v>
      </c>
      <c r="B208" s="4">
        <v>0.97394119999999995</v>
      </c>
      <c r="C208" s="4">
        <v>9.1025255999999999E-2</v>
      </c>
      <c r="D208" s="4">
        <v>0.86347379999999996</v>
      </c>
      <c r="E208" s="4">
        <v>0.5604941</v>
      </c>
      <c r="F208" s="4">
        <f t="shared" si="3"/>
        <v>0.97394119999999995</v>
      </c>
      <c r="G208" s="4"/>
      <c r="H208" s="4"/>
      <c r="I208" s="4"/>
      <c r="J208" s="4"/>
      <c r="K208" s="4"/>
      <c r="L208" s="4"/>
      <c r="M208" s="4"/>
      <c r="N208" s="4"/>
      <c r="O208" s="4">
        <v>16.619357999999998</v>
      </c>
      <c r="P208" s="4">
        <v>13.318766999999999</v>
      </c>
      <c r="Q208" s="1" t="s">
        <v>49</v>
      </c>
      <c r="R208" s="1">
        <v>1</v>
      </c>
      <c r="S208"/>
    </row>
    <row r="209" spans="1:19" x14ac:dyDescent="0.25">
      <c r="A209" s="3" t="s">
        <v>140</v>
      </c>
      <c r="B209" s="4">
        <v>0.48659268</v>
      </c>
      <c r="C209" s="4">
        <v>0.96957033999999997</v>
      </c>
      <c r="D209" s="4">
        <v>0.79454599999999997</v>
      </c>
      <c r="E209" s="4">
        <v>0.52564513999999996</v>
      </c>
      <c r="F209" s="4">
        <f t="shared" si="3"/>
        <v>0.96957033999999997</v>
      </c>
      <c r="G209" s="4">
        <v>15.40583</v>
      </c>
      <c r="H209" s="4">
        <v>45.33428</v>
      </c>
      <c r="I209" s="4">
        <v>45.829906000000001</v>
      </c>
      <c r="J209" s="4">
        <v>16.275917</v>
      </c>
      <c r="K209" s="4"/>
      <c r="L209" s="4"/>
      <c r="M209" s="4"/>
      <c r="N209" s="4"/>
      <c r="O209" s="4"/>
      <c r="P209" s="4"/>
      <c r="Q209" s="1" t="s">
        <v>141</v>
      </c>
      <c r="R209" s="1">
        <v>1</v>
      </c>
      <c r="S209"/>
    </row>
    <row r="210" spans="1:19" x14ac:dyDescent="0.25">
      <c r="A210" s="3" t="s">
        <v>36</v>
      </c>
      <c r="B210" s="4">
        <v>0.98487100000000005</v>
      </c>
      <c r="C210" s="4">
        <v>0.34684547999999998</v>
      </c>
      <c r="D210" s="4">
        <v>0.99998319999999996</v>
      </c>
      <c r="E210" s="4">
        <v>0.60395920000000003</v>
      </c>
      <c r="F210" s="4">
        <f t="shared" si="3"/>
        <v>0.99998319999999996</v>
      </c>
      <c r="G210" s="4"/>
      <c r="H210" s="4"/>
      <c r="I210" s="4"/>
      <c r="J210" s="4"/>
      <c r="K210" s="4">
        <v>15.600051000000001</v>
      </c>
      <c r="L210" s="4">
        <v>12.301047000000001</v>
      </c>
      <c r="M210" s="4"/>
      <c r="N210" s="4"/>
      <c r="O210" s="4">
        <v>16.080734</v>
      </c>
      <c r="P210" s="4">
        <v>12.240902</v>
      </c>
      <c r="Q210" s="1" t="s">
        <v>37</v>
      </c>
      <c r="R210" s="1">
        <v>0</v>
      </c>
    </row>
    <row r="211" spans="1:19" x14ac:dyDescent="0.25">
      <c r="A211" s="3" t="s">
        <v>58</v>
      </c>
      <c r="B211" s="4">
        <v>0.96052389999999999</v>
      </c>
      <c r="C211" s="4">
        <v>0.90222639999999998</v>
      </c>
      <c r="D211" s="4">
        <v>0.99994709999999998</v>
      </c>
      <c r="E211" s="4">
        <v>0.87212990000000001</v>
      </c>
      <c r="F211" s="4">
        <f t="shared" si="3"/>
        <v>0.99994709999999998</v>
      </c>
      <c r="G211" s="4"/>
      <c r="H211" s="4"/>
      <c r="I211" s="4"/>
      <c r="J211" s="4"/>
      <c r="K211" s="4">
        <v>16.230228</v>
      </c>
      <c r="L211" s="4">
        <v>13.710699</v>
      </c>
      <c r="M211" s="4"/>
      <c r="N211" s="4"/>
      <c r="O211" s="4">
        <v>16.463476</v>
      </c>
      <c r="P211" s="4">
        <v>12.43206</v>
      </c>
      <c r="Q211" s="1" t="s">
        <v>59</v>
      </c>
      <c r="R211" s="1">
        <v>0</v>
      </c>
      <c r="S211"/>
    </row>
    <row r="212" spans="1:19" x14ac:dyDescent="0.25">
      <c r="A212" s="3" t="s">
        <v>30</v>
      </c>
      <c r="B212" s="4">
        <v>0.99932027000000001</v>
      </c>
      <c r="C212" s="4">
        <v>0.99877757</v>
      </c>
      <c r="D212" s="4">
        <v>0.74567190000000005</v>
      </c>
      <c r="E212" s="4">
        <v>0.91167600000000004</v>
      </c>
      <c r="F212" s="4">
        <f t="shared" si="3"/>
        <v>0.99932027000000001</v>
      </c>
      <c r="G212" s="4">
        <v>15.225619999999999</v>
      </c>
      <c r="H212" s="4">
        <v>38.040824999999998</v>
      </c>
      <c r="I212" s="4">
        <v>52.155810000000002</v>
      </c>
      <c r="J212" s="4">
        <v>18.422440000000002</v>
      </c>
      <c r="K212" s="4"/>
      <c r="L212" s="4"/>
      <c r="M212" s="4"/>
      <c r="N212" s="4"/>
      <c r="O212" s="4">
        <v>15.518229</v>
      </c>
      <c r="P212" s="4">
        <v>14.638292</v>
      </c>
      <c r="Q212" s="11" t="s">
        <v>31</v>
      </c>
      <c r="R212" s="1">
        <v>0</v>
      </c>
      <c r="S212"/>
    </row>
    <row r="213" spans="1:19" x14ac:dyDescent="0.25">
      <c r="A213" s="3" t="s">
        <v>112</v>
      </c>
      <c r="B213" s="4">
        <v>0.99885120000000005</v>
      </c>
      <c r="C213" s="4">
        <v>1.8443867999999999E-2</v>
      </c>
      <c r="D213" s="4">
        <v>0.57488550000000005</v>
      </c>
      <c r="E213" s="4">
        <v>0.80534344999999996</v>
      </c>
      <c r="F213" s="4">
        <f t="shared" si="3"/>
        <v>0.99885120000000005</v>
      </c>
      <c r="G213" s="4"/>
      <c r="H213" s="4"/>
      <c r="I213" s="4"/>
      <c r="J213" s="4"/>
      <c r="K213" s="4"/>
      <c r="L213" s="4"/>
      <c r="M213" s="4"/>
      <c r="N213" s="4"/>
      <c r="O213" s="4">
        <v>16.817532</v>
      </c>
      <c r="P213" s="4">
        <v>14.128355000000001</v>
      </c>
      <c r="Q213" s="11" t="s">
        <v>113</v>
      </c>
      <c r="R213" s="1">
        <v>0</v>
      </c>
    </row>
    <row r="214" spans="1:19" x14ac:dyDescent="0.25">
      <c r="A214" s="3" t="s">
        <v>92</v>
      </c>
      <c r="B214" s="4">
        <v>0.95714986000000002</v>
      </c>
      <c r="C214" s="4">
        <v>0.18349077999999999</v>
      </c>
      <c r="D214" s="4">
        <v>0.99842260000000005</v>
      </c>
      <c r="E214" s="4">
        <v>0.4330697</v>
      </c>
      <c r="F214" s="4">
        <f t="shared" si="3"/>
        <v>0.99842260000000005</v>
      </c>
      <c r="G214" s="4"/>
      <c r="H214" s="4"/>
      <c r="I214" s="4"/>
      <c r="J214" s="4"/>
      <c r="K214" s="4">
        <v>16.532578000000001</v>
      </c>
      <c r="L214" s="4">
        <v>14.29731</v>
      </c>
      <c r="M214" s="4"/>
      <c r="N214" s="4"/>
      <c r="O214" s="4">
        <v>16.634886000000002</v>
      </c>
      <c r="P214" s="4">
        <v>13.263788</v>
      </c>
      <c r="Q214" s="11" t="s">
        <v>93</v>
      </c>
      <c r="R214" s="1">
        <v>0</v>
      </c>
    </row>
    <row r="215" spans="1:19" x14ac:dyDescent="0.25">
      <c r="A215" s="3" t="s">
        <v>118</v>
      </c>
      <c r="B215" s="4">
        <v>0.41812529999999998</v>
      </c>
      <c r="C215" s="4">
        <v>0.96233150000000001</v>
      </c>
      <c r="D215" s="4">
        <v>0.87625885000000003</v>
      </c>
      <c r="E215" s="4">
        <v>0.58464510000000003</v>
      </c>
      <c r="F215" s="4">
        <f t="shared" si="3"/>
        <v>0.96233150000000001</v>
      </c>
      <c r="G215" s="4">
        <v>15.949066</v>
      </c>
      <c r="H215" s="4">
        <v>46.758021999999997</v>
      </c>
      <c r="I215" s="4">
        <v>42.641452999999998</v>
      </c>
      <c r="J215" s="4">
        <v>16.435186000000002</v>
      </c>
      <c r="K215" s="4"/>
      <c r="L215" s="4"/>
      <c r="M215" s="4"/>
      <c r="N215" s="4"/>
      <c r="O215" s="4"/>
      <c r="P215" s="4"/>
      <c r="Q215" s="1" t="s">
        <v>119</v>
      </c>
      <c r="R215" s="1">
        <v>1</v>
      </c>
    </row>
    <row r="216" spans="1:19" x14ac:dyDescent="0.25">
      <c r="A216" s="3" t="s">
        <v>52</v>
      </c>
      <c r="B216" s="4">
        <v>0.98019710000000004</v>
      </c>
      <c r="C216" s="4">
        <v>0.9934714</v>
      </c>
      <c r="D216" s="4">
        <v>0.72136855</v>
      </c>
      <c r="E216" s="4">
        <v>0.98685959999999995</v>
      </c>
      <c r="F216" s="4">
        <f t="shared" si="3"/>
        <v>0.9934714</v>
      </c>
      <c r="G216" s="4">
        <v>15.459103000000001</v>
      </c>
      <c r="H216" s="4">
        <v>39.139232999999997</v>
      </c>
      <c r="I216" s="4">
        <v>51.013095999999997</v>
      </c>
      <c r="J216" s="4">
        <v>18.50386</v>
      </c>
      <c r="K216" s="4"/>
      <c r="L216" s="4"/>
      <c r="M216" s="4">
        <v>14.997358</v>
      </c>
      <c r="N216" s="4">
        <v>0.15044571000000001</v>
      </c>
      <c r="O216" s="4">
        <v>17.141714</v>
      </c>
      <c r="P216" s="4">
        <v>14.60281</v>
      </c>
      <c r="Q216" s="11" t="s">
        <v>53</v>
      </c>
      <c r="R216" s="1">
        <v>0</v>
      </c>
    </row>
    <row r="217" spans="1:19" x14ac:dyDescent="0.25">
      <c r="A217" s="3" t="s">
        <v>14</v>
      </c>
      <c r="B217" s="4">
        <v>0.98794470000000001</v>
      </c>
      <c r="C217" s="4">
        <v>0.99298876999999997</v>
      </c>
      <c r="D217" s="4">
        <v>0.51949394000000004</v>
      </c>
      <c r="E217" s="4">
        <v>0.92744534999999995</v>
      </c>
      <c r="F217" s="4">
        <f t="shared" si="3"/>
        <v>0.99298876999999997</v>
      </c>
      <c r="G217" s="4">
        <v>15.925613</v>
      </c>
      <c r="H217" s="4">
        <v>40.005549999999999</v>
      </c>
      <c r="I217" s="4">
        <v>42.278469999999999</v>
      </c>
      <c r="J217" s="4">
        <v>15.655481</v>
      </c>
      <c r="K217" s="4"/>
      <c r="L217" s="4"/>
      <c r="M217" s="4"/>
      <c r="N217" s="4"/>
      <c r="O217" s="4">
        <v>17.141714</v>
      </c>
      <c r="P217" s="4">
        <v>12.933928999999999</v>
      </c>
      <c r="Q217" s="11" t="s">
        <v>15</v>
      </c>
      <c r="R217" s="1">
        <v>0</v>
      </c>
      <c r="S217"/>
    </row>
    <row r="218" spans="1:19" x14ac:dyDescent="0.25">
      <c r="A218" s="3" t="s">
        <v>22</v>
      </c>
      <c r="B218" s="4">
        <v>0.96027370000000001</v>
      </c>
      <c r="C218" s="4">
        <v>0.37862425999999999</v>
      </c>
      <c r="D218" s="4">
        <v>0.79321306999999996</v>
      </c>
      <c r="E218" s="4">
        <v>0.64418949999999997</v>
      </c>
      <c r="F218" s="4">
        <f t="shared" si="3"/>
        <v>0.96027370000000001</v>
      </c>
      <c r="G218" s="4"/>
      <c r="H218" s="4"/>
      <c r="I218" s="4"/>
      <c r="J218" s="4"/>
      <c r="K218" s="4"/>
      <c r="L218" s="4"/>
      <c r="M218" s="4"/>
      <c r="N218" s="4"/>
      <c r="O218" s="4">
        <v>16.291841999999999</v>
      </c>
      <c r="P218" s="4">
        <v>13.230024999999999</v>
      </c>
      <c r="Q218" s="1" t="s">
        <v>23</v>
      </c>
      <c r="R218" s="1">
        <v>1</v>
      </c>
    </row>
    <row r="219" spans="1:19" x14ac:dyDescent="0.25">
      <c r="A219" s="3" t="s">
        <v>116</v>
      </c>
      <c r="B219" s="4">
        <v>0.99218759999999995</v>
      </c>
      <c r="C219" s="4">
        <v>0.95990589999999998</v>
      </c>
      <c r="D219" s="4">
        <v>0.50767859999999998</v>
      </c>
      <c r="E219" s="4">
        <v>0.97464589999999995</v>
      </c>
      <c r="F219" s="4">
        <f t="shared" si="3"/>
        <v>0.99218759999999995</v>
      </c>
      <c r="G219" s="4">
        <v>15.949066</v>
      </c>
      <c r="H219" s="4">
        <v>40.772914999999998</v>
      </c>
      <c r="I219" s="4">
        <v>47.375152999999997</v>
      </c>
      <c r="J219" s="4">
        <v>16.22381</v>
      </c>
      <c r="K219" s="4"/>
      <c r="L219" s="4"/>
      <c r="M219" s="4">
        <v>14.049967000000001</v>
      </c>
      <c r="N219" s="4">
        <v>0.15035245</v>
      </c>
      <c r="O219" s="4">
        <v>16.966583</v>
      </c>
      <c r="P219" s="4">
        <v>13.468412000000001</v>
      </c>
      <c r="Q219" s="11" t="s">
        <v>117</v>
      </c>
      <c r="R219" s="1">
        <v>0</v>
      </c>
      <c r="S219"/>
    </row>
    <row r="220" spans="1:19" x14ac:dyDescent="0.25">
      <c r="A220" s="3" t="s">
        <v>70</v>
      </c>
      <c r="B220" s="4">
        <v>0.98681600000000003</v>
      </c>
      <c r="C220" s="4">
        <v>0.22087380000000001</v>
      </c>
      <c r="D220" s="4">
        <v>0.60725830000000003</v>
      </c>
      <c r="E220" s="4">
        <v>0.89659469999999997</v>
      </c>
      <c r="F220" s="4">
        <f t="shared" si="3"/>
        <v>0.98681600000000003</v>
      </c>
      <c r="G220" s="4"/>
      <c r="H220" s="4"/>
      <c r="I220" s="4"/>
      <c r="J220" s="4"/>
      <c r="K220" s="4"/>
      <c r="L220" s="4"/>
      <c r="M220" s="4"/>
      <c r="N220" s="4"/>
      <c r="O220" s="4">
        <v>16.761203999999999</v>
      </c>
      <c r="P220" s="4">
        <v>13.319054</v>
      </c>
      <c r="Q220" s="1" t="s">
        <v>71</v>
      </c>
      <c r="R220" s="1">
        <v>0</v>
      </c>
      <c r="S220"/>
    </row>
    <row r="221" spans="1:19" x14ac:dyDescent="0.25">
      <c r="A221" s="3" t="s">
        <v>98</v>
      </c>
      <c r="B221" s="4">
        <v>0.98576350000000001</v>
      </c>
      <c r="C221" s="4">
        <v>0.10828889999999999</v>
      </c>
      <c r="D221" s="4">
        <v>0.46467128000000002</v>
      </c>
      <c r="E221" s="4">
        <v>0.85036593999999999</v>
      </c>
      <c r="F221" s="4">
        <f t="shared" si="3"/>
        <v>0.98576350000000001</v>
      </c>
      <c r="G221" s="4"/>
      <c r="H221" s="4"/>
      <c r="I221" s="4"/>
      <c r="J221" s="4"/>
      <c r="K221" s="4"/>
      <c r="L221" s="4"/>
      <c r="M221" s="4"/>
      <c r="N221" s="4"/>
      <c r="O221" s="4">
        <v>17.141714</v>
      </c>
      <c r="P221" s="4">
        <v>13.361034</v>
      </c>
      <c r="Q221" s="11" t="s">
        <v>99</v>
      </c>
      <c r="R221" s="1">
        <v>0</v>
      </c>
    </row>
    <row r="222" spans="1:19" x14ac:dyDescent="0.25">
      <c r="A222" s="3" t="s">
        <v>44</v>
      </c>
      <c r="B222" s="4">
        <v>0.98285794000000004</v>
      </c>
      <c r="C222" s="4">
        <v>4.6885249999999998E-3</v>
      </c>
      <c r="D222" s="4">
        <v>0.79397035000000005</v>
      </c>
      <c r="E222" s="4">
        <v>0.84471560000000001</v>
      </c>
      <c r="F222" s="4">
        <f t="shared" si="3"/>
        <v>0.98285794000000004</v>
      </c>
      <c r="G222" s="4"/>
      <c r="H222" s="4"/>
      <c r="I222" s="4"/>
      <c r="J222" s="4"/>
      <c r="K222" s="4"/>
      <c r="L222" s="4"/>
      <c r="M222" s="4"/>
      <c r="N222" s="4"/>
      <c r="O222" s="4">
        <v>17.141714</v>
      </c>
      <c r="P222" s="4">
        <v>13.181476</v>
      </c>
      <c r="Q222" s="11" t="s">
        <v>45</v>
      </c>
      <c r="R222" s="1">
        <v>0</v>
      </c>
    </row>
    <row r="223" spans="1:19" x14ac:dyDescent="0.25">
      <c r="A223" s="3" t="s">
        <v>42</v>
      </c>
      <c r="B223" s="4">
        <v>0.97947514000000002</v>
      </c>
      <c r="C223" s="4">
        <v>0.15364398000000001</v>
      </c>
      <c r="D223" s="4">
        <v>0.76760846000000005</v>
      </c>
      <c r="E223" s="4">
        <v>0.82838840000000002</v>
      </c>
      <c r="F223" s="4">
        <f t="shared" si="3"/>
        <v>0.97947514000000002</v>
      </c>
      <c r="G223" s="4"/>
      <c r="H223" s="4"/>
      <c r="I223" s="4"/>
      <c r="J223" s="4"/>
      <c r="K223" s="4"/>
      <c r="L223" s="4"/>
      <c r="M223" s="4"/>
      <c r="N223" s="4"/>
      <c r="O223" s="4">
        <v>16.857403000000001</v>
      </c>
      <c r="P223" s="4">
        <v>13.472441</v>
      </c>
      <c r="Q223" s="11" t="s">
        <v>43</v>
      </c>
      <c r="R223" s="1">
        <v>0</v>
      </c>
      <c r="S223"/>
    </row>
    <row r="224" spans="1:19" x14ac:dyDescent="0.25">
      <c r="A224" s="3" t="s">
        <v>90</v>
      </c>
      <c r="B224" s="4">
        <v>0.97777780000000003</v>
      </c>
      <c r="C224" s="4">
        <v>0.60633570000000003</v>
      </c>
      <c r="D224" s="4">
        <v>0.41883448000000001</v>
      </c>
      <c r="E224" s="4">
        <v>0.87526959999999998</v>
      </c>
      <c r="F224" s="4">
        <f t="shared" si="3"/>
        <v>0.97777780000000003</v>
      </c>
      <c r="G224" s="4"/>
      <c r="H224" s="4"/>
      <c r="I224" s="4"/>
      <c r="J224" s="4"/>
      <c r="K224" s="4"/>
      <c r="L224" s="4"/>
      <c r="M224" s="4"/>
      <c r="N224" s="4"/>
      <c r="O224" s="4">
        <v>16.912662999999998</v>
      </c>
      <c r="P224" s="4">
        <v>13.77398</v>
      </c>
      <c r="Q224" s="11" t="s">
        <v>91</v>
      </c>
      <c r="R224" s="1">
        <v>0</v>
      </c>
    </row>
    <row r="225" spans="1:19" x14ac:dyDescent="0.25">
      <c r="A225" s="3" t="s">
        <v>84</v>
      </c>
      <c r="B225" s="4">
        <v>0.95789354999999998</v>
      </c>
      <c r="C225" s="4">
        <v>0.45046446000000001</v>
      </c>
      <c r="D225" s="4">
        <v>0.87936884000000004</v>
      </c>
      <c r="E225" s="4">
        <v>0.62218830000000003</v>
      </c>
      <c r="F225" s="4">
        <f t="shared" si="3"/>
        <v>0.95789354999999998</v>
      </c>
      <c r="G225" s="4"/>
      <c r="H225" s="4"/>
      <c r="I225" s="4"/>
      <c r="J225" s="4"/>
      <c r="K225" s="4"/>
      <c r="L225" s="4"/>
      <c r="M225" s="4"/>
      <c r="N225" s="4"/>
      <c r="O225" s="4">
        <v>16.812419999999999</v>
      </c>
      <c r="P225" s="4">
        <v>13.147703</v>
      </c>
      <c r="Q225" s="1" t="s">
        <v>85</v>
      </c>
      <c r="R225" s="1">
        <v>1</v>
      </c>
    </row>
    <row r="226" spans="1:19" x14ac:dyDescent="0.25">
      <c r="A226" s="3" t="s">
        <v>108</v>
      </c>
      <c r="B226" s="4">
        <v>0.97775690000000004</v>
      </c>
      <c r="C226" s="4">
        <v>0.41954497000000002</v>
      </c>
      <c r="D226" s="4">
        <v>0.53486639999999996</v>
      </c>
      <c r="E226" s="4">
        <v>0.8676855</v>
      </c>
      <c r="F226" s="4">
        <f t="shared" si="3"/>
        <v>0.97775690000000004</v>
      </c>
      <c r="G226" s="4"/>
      <c r="H226" s="4"/>
      <c r="I226" s="4"/>
      <c r="J226" s="4"/>
      <c r="K226" s="4"/>
      <c r="L226" s="4"/>
      <c r="M226" s="4"/>
      <c r="N226" s="4"/>
      <c r="O226" s="4">
        <v>17.141714</v>
      </c>
      <c r="P226" s="4">
        <v>13.5842495</v>
      </c>
      <c r="Q226" s="11" t="s">
        <v>109</v>
      </c>
      <c r="R226" s="1">
        <v>0</v>
      </c>
    </row>
    <row r="227" spans="1:19" x14ac:dyDescent="0.25">
      <c r="A227" s="3" t="s">
        <v>156</v>
      </c>
      <c r="B227" s="4">
        <v>0.82771707000000005</v>
      </c>
      <c r="C227" s="4">
        <v>0.97680305999999995</v>
      </c>
      <c r="D227" s="4">
        <v>0.46086967000000001</v>
      </c>
      <c r="E227" s="4">
        <v>0.71833605</v>
      </c>
      <c r="F227" s="4">
        <f t="shared" si="3"/>
        <v>0.97680305999999995</v>
      </c>
      <c r="G227" s="4">
        <v>15.756477</v>
      </c>
      <c r="H227" s="4">
        <v>41.862186000000001</v>
      </c>
      <c r="I227" s="4">
        <v>41.590960000000003</v>
      </c>
      <c r="J227" s="4">
        <v>16.484857999999999</v>
      </c>
      <c r="K227" s="4"/>
      <c r="L227" s="4"/>
      <c r="M227" s="4"/>
      <c r="N227" s="4"/>
      <c r="O227" s="4"/>
      <c r="P227" s="4"/>
      <c r="Q227" s="1" t="s">
        <v>157</v>
      </c>
      <c r="R227" s="1">
        <v>0</v>
      </c>
      <c r="S227"/>
    </row>
    <row r="228" spans="1:19" x14ac:dyDescent="0.25">
      <c r="A228" s="3" t="s">
        <v>146</v>
      </c>
      <c r="B228" s="4">
        <v>0.52650624999999995</v>
      </c>
      <c r="C228" s="4">
        <v>0.95613974000000002</v>
      </c>
      <c r="D228" s="4">
        <v>0.97574437000000003</v>
      </c>
      <c r="E228" s="4">
        <v>0.52492669999999997</v>
      </c>
      <c r="F228" s="4">
        <f t="shared" si="3"/>
        <v>0.97574437000000003</v>
      </c>
      <c r="G228" s="4">
        <v>15.880587</v>
      </c>
      <c r="H228" s="4">
        <v>41.466915</v>
      </c>
      <c r="I228" s="4">
        <v>46.351460000000003</v>
      </c>
      <c r="J228" s="4">
        <v>15.62377</v>
      </c>
      <c r="K228" s="4">
        <v>15.698149000000001</v>
      </c>
      <c r="L228" s="4">
        <v>12.424716999999999</v>
      </c>
      <c r="M228" s="4"/>
      <c r="N228" s="4"/>
      <c r="O228" s="4"/>
      <c r="P228" s="4"/>
      <c r="Q228" s="1" t="s">
        <v>147</v>
      </c>
      <c r="R228" s="1">
        <v>0</v>
      </c>
    </row>
    <row r="229" spans="1:19" x14ac:dyDescent="0.25">
      <c r="A229" s="3" t="s">
        <v>106</v>
      </c>
      <c r="B229" s="4">
        <v>0.96282964999999998</v>
      </c>
      <c r="C229" s="4">
        <v>0.21907583</v>
      </c>
      <c r="D229" s="4">
        <v>0.45746383000000002</v>
      </c>
      <c r="E229" s="4">
        <v>0.91540060000000001</v>
      </c>
      <c r="F229" s="4">
        <f t="shared" si="3"/>
        <v>0.96282964999999998</v>
      </c>
      <c r="G229" s="4"/>
      <c r="H229" s="4"/>
      <c r="I229" s="4"/>
      <c r="J229" s="4"/>
      <c r="K229" s="4"/>
      <c r="L229" s="4"/>
      <c r="M229" s="4"/>
      <c r="N229" s="4"/>
      <c r="O229" s="4">
        <v>16.887702999999998</v>
      </c>
      <c r="P229" s="4">
        <v>13.361494</v>
      </c>
      <c r="Q229" s="1" t="s">
        <v>107</v>
      </c>
      <c r="R229" s="1">
        <v>0</v>
      </c>
      <c r="S229"/>
    </row>
    <row r="230" spans="1:19" x14ac:dyDescent="0.25">
      <c r="A230" s="3" t="s">
        <v>154</v>
      </c>
      <c r="B230" s="4">
        <v>0.35258236999999998</v>
      </c>
      <c r="C230" s="4">
        <v>0.95852099999999996</v>
      </c>
      <c r="D230" s="4">
        <v>0.58857660000000001</v>
      </c>
      <c r="E230" s="4">
        <v>0.36441675000000001</v>
      </c>
      <c r="F230" s="4">
        <f t="shared" si="3"/>
        <v>0.95852099999999996</v>
      </c>
      <c r="G230" s="4">
        <v>15.737034</v>
      </c>
      <c r="H230" s="4">
        <v>40.423701999999999</v>
      </c>
      <c r="I230" s="4">
        <v>40.476531999999999</v>
      </c>
      <c r="J230" s="4">
        <v>14.472351</v>
      </c>
      <c r="K230" s="4"/>
      <c r="L230" s="4"/>
      <c r="M230" s="4"/>
      <c r="N230" s="4"/>
      <c r="O230" s="4"/>
      <c r="P230" s="4"/>
      <c r="Q230" s="1" t="s">
        <v>155</v>
      </c>
      <c r="R230" s="1">
        <v>0</v>
      </c>
      <c r="S230"/>
    </row>
    <row r="231" spans="1:19" x14ac:dyDescent="0.25">
      <c r="A231" s="3" t="s">
        <v>78</v>
      </c>
      <c r="B231" s="4">
        <v>0.95190680000000005</v>
      </c>
      <c r="C231" s="4">
        <v>0.11671473</v>
      </c>
      <c r="D231" s="4">
        <v>0.73766810000000005</v>
      </c>
      <c r="E231" s="4">
        <v>0.84759426000000004</v>
      </c>
      <c r="F231" s="4">
        <f t="shared" si="3"/>
        <v>0.95190680000000005</v>
      </c>
      <c r="G231" s="4"/>
      <c r="H231" s="4"/>
      <c r="I231" s="4"/>
      <c r="J231" s="4"/>
      <c r="K231" s="4"/>
      <c r="L231" s="4"/>
      <c r="M231" s="4"/>
      <c r="N231" s="4"/>
      <c r="O231" s="4">
        <v>17.101568</v>
      </c>
      <c r="P231" s="4">
        <v>13.353467</v>
      </c>
      <c r="Q231" s="1" t="s">
        <v>79</v>
      </c>
      <c r="R231" s="1">
        <v>1</v>
      </c>
      <c r="S231"/>
    </row>
    <row r="232" spans="1:19" x14ac:dyDescent="0.25">
      <c r="A232" s="3" t="s">
        <v>148</v>
      </c>
      <c r="B232" s="4">
        <v>0.69584422999999995</v>
      </c>
      <c r="C232" s="4">
        <v>0.95844019999999996</v>
      </c>
      <c r="D232" s="4">
        <v>0.5410625</v>
      </c>
      <c r="E232" s="4">
        <v>0.6411597</v>
      </c>
      <c r="F232" s="4">
        <f t="shared" si="3"/>
        <v>0.95844019999999996</v>
      </c>
      <c r="G232" s="4">
        <v>15.431422</v>
      </c>
      <c r="H232" s="4">
        <v>42.026870000000002</v>
      </c>
      <c r="I232" s="4">
        <v>40.625399999999999</v>
      </c>
      <c r="J232" s="4">
        <v>14.584669</v>
      </c>
      <c r="K232" s="4"/>
      <c r="L232" s="4"/>
      <c r="M232" s="4"/>
      <c r="N232" s="4"/>
      <c r="O232" s="4"/>
      <c r="P232" s="4"/>
      <c r="Q232" s="1" t="s">
        <v>149</v>
      </c>
      <c r="R232" s="1">
        <v>0</v>
      </c>
      <c r="S232"/>
    </row>
    <row r="233" spans="1:19" x14ac:dyDescent="0.25">
      <c r="A233" s="3" t="s">
        <v>138</v>
      </c>
      <c r="B233" s="4">
        <v>0.43383836999999997</v>
      </c>
      <c r="C233" s="4">
        <v>0.95806119999999995</v>
      </c>
      <c r="D233" s="4">
        <v>0.67384034000000004</v>
      </c>
      <c r="E233" s="4">
        <v>0.40313694</v>
      </c>
      <c r="F233" s="4">
        <f t="shared" si="3"/>
        <v>0.95806119999999995</v>
      </c>
      <c r="G233" s="4">
        <v>15.870848000000001</v>
      </c>
      <c r="H233" s="4">
        <v>37.901287000000004</v>
      </c>
      <c r="I233" s="4">
        <v>40.733448000000003</v>
      </c>
      <c r="J233" s="4">
        <v>13.951355</v>
      </c>
      <c r="K233" s="4"/>
      <c r="L233" s="4"/>
      <c r="M233" s="4"/>
      <c r="N233" s="4"/>
      <c r="O233" s="4"/>
      <c r="P233" s="4"/>
      <c r="Q233" s="1" t="s">
        <v>139</v>
      </c>
      <c r="R233" s="1">
        <v>0</v>
      </c>
    </row>
    <row r="234" spans="1:19" x14ac:dyDescent="0.25">
      <c r="H234" s="4"/>
      <c r="I234" s="4"/>
      <c r="J234" s="4"/>
      <c r="K234" s="4"/>
      <c r="L234" s="4"/>
      <c r="M234" s="4"/>
      <c r="N234" s="4"/>
      <c r="O234" s="4"/>
      <c r="P234" s="4"/>
    </row>
    <row r="235" spans="1:19" x14ac:dyDescent="0.25">
      <c r="H235" s="4"/>
      <c r="I235" s="4"/>
      <c r="J235" s="4"/>
      <c r="K235" s="4"/>
      <c r="L235" s="4"/>
      <c r="M235" s="4"/>
      <c r="N235" s="4"/>
      <c r="O235" s="4"/>
      <c r="P235" s="4"/>
    </row>
    <row r="236" spans="1:19" x14ac:dyDescent="0.25">
      <c r="H236" s="4"/>
      <c r="I236" s="4"/>
      <c r="J236" s="4"/>
      <c r="K236" s="4"/>
      <c r="L236" s="4"/>
      <c r="M236" s="4"/>
      <c r="N236" s="4"/>
      <c r="O236" s="4"/>
      <c r="P236" s="4"/>
    </row>
    <row r="237" spans="1:19" x14ac:dyDescent="0.25">
      <c r="H237" s="4"/>
      <c r="I237" s="4"/>
      <c r="J237" s="4"/>
      <c r="K237" s="4"/>
      <c r="L237" s="4"/>
      <c r="M237" s="4"/>
      <c r="N237" s="4"/>
      <c r="O237" s="4"/>
      <c r="P237" s="4"/>
    </row>
    <row r="238" spans="1:19" x14ac:dyDescent="0.25">
      <c r="H238" s="4"/>
      <c r="I238" s="4"/>
      <c r="J238" s="4"/>
      <c r="K238" s="4"/>
      <c r="L238" s="4"/>
      <c r="M238" s="4"/>
      <c r="N238" s="4"/>
      <c r="O238" s="4"/>
      <c r="P238" s="4"/>
    </row>
    <row r="239" spans="1:19" x14ac:dyDescent="0.25">
      <c r="H239" s="4"/>
      <c r="I239" s="4"/>
      <c r="J239" s="4"/>
      <c r="K239" s="4"/>
      <c r="L239" s="4"/>
      <c r="M239" s="4"/>
      <c r="N239" s="4"/>
      <c r="O239" s="4"/>
      <c r="P239" s="4"/>
    </row>
    <row r="240" spans="1:19" x14ac:dyDescent="0.25">
      <c r="H240" s="4"/>
      <c r="I240" s="4"/>
      <c r="J240" s="4"/>
      <c r="K240" s="4"/>
      <c r="L240" s="4"/>
      <c r="M240" s="4"/>
      <c r="N240" s="4"/>
      <c r="O240" s="4"/>
      <c r="P240" s="4"/>
    </row>
    <row r="241" spans="8:16" x14ac:dyDescent="0.25">
      <c r="H241" s="4"/>
      <c r="I241" s="4"/>
      <c r="J241" s="4"/>
      <c r="K241" s="4"/>
      <c r="L241" s="4"/>
      <c r="M241" s="4"/>
      <c r="N241" s="4"/>
      <c r="O241" s="4"/>
      <c r="P241" s="4"/>
    </row>
    <row r="242" spans="8:16" x14ac:dyDescent="0.25">
      <c r="H242" s="4"/>
      <c r="I242" s="4"/>
      <c r="J242" s="4"/>
      <c r="K242" s="4"/>
      <c r="L242" s="4"/>
      <c r="M242" s="4"/>
      <c r="N242" s="4"/>
      <c r="O242" s="4"/>
      <c r="P242" s="4"/>
    </row>
    <row r="243" spans="8:16" x14ac:dyDescent="0.25">
      <c r="H243" s="4"/>
      <c r="I243" s="4"/>
      <c r="J243" s="4"/>
      <c r="K243" s="4"/>
      <c r="L243" s="4"/>
      <c r="M243" s="4"/>
      <c r="N243" s="4"/>
      <c r="O243" s="4"/>
      <c r="P243" s="4"/>
    </row>
    <row r="244" spans="8:16" x14ac:dyDescent="0.25">
      <c r="H244" s="4"/>
      <c r="I244" s="4"/>
      <c r="J244" s="4"/>
      <c r="K244" s="4"/>
      <c r="L244" s="4"/>
      <c r="M244" s="4"/>
      <c r="N244" s="4"/>
      <c r="O244" s="4"/>
      <c r="P244" s="4"/>
    </row>
    <row r="245" spans="8:16" x14ac:dyDescent="0.25">
      <c r="H245" s="4"/>
      <c r="I245" s="4"/>
      <c r="J245" s="4"/>
      <c r="K245" s="4"/>
      <c r="L245" s="4"/>
      <c r="M245" s="4"/>
      <c r="N245" s="4"/>
      <c r="O245" s="4"/>
      <c r="P245" s="4"/>
    </row>
    <row r="246" spans="8:16" x14ac:dyDescent="0.25">
      <c r="H246" s="4"/>
      <c r="I246" s="4"/>
      <c r="J246" s="4"/>
      <c r="K246" s="4"/>
      <c r="L246" s="4"/>
      <c r="M246" s="4"/>
      <c r="N246" s="4"/>
      <c r="O246" s="4"/>
      <c r="P246" s="4"/>
    </row>
    <row r="247" spans="8:16" x14ac:dyDescent="0.25">
      <c r="H247" s="4"/>
      <c r="I247" s="4"/>
      <c r="J247" s="4"/>
      <c r="K247" s="4"/>
      <c r="L247" s="4"/>
      <c r="M247" s="4"/>
      <c r="N247" s="4"/>
      <c r="O247" s="4"/>
      <c r="P247" s="4"/>
    </row>
    <row r="248" spans="8:16" x14ac:dyDescent="0.25">
      <c r="H248" s="4"/>
      <c r="I248" s="4"/>
      <c r="J248" s="4"/>
      <c r="K248" s="4"/>
      <c r="L248" s="4"/>
      <c r="M248" s="4"/>
      <c r="N248" s="4"/>
      <c r="O248" s="4"/>
      <c r="P248" s="4"/>
    </row>
    <row r="249" spans="8:16" x14ac:dyDescent="0.25">
      <c r="H249" s="4"/>
      <c r="I249" s="4"/>
      <c r="J249" s="4"/>
      <c r="K249" s="4"/>
      <c r="L249" s="4"/>
      <c r="M249" s="4"/>
      <c r="N249" s="4"/>
      <c r="O249" s="4"/>
      <c r="P249" s="4"/>
    </row>
    <row r="250" spans="8:16" x14ac:dyDescent="0.25">
      <c r="H250" s="4"/>
      <c r="I250" s="4"/>
      <c r="J250" s="4"/>
      <c r="K250" s="4"/>
      <c r="L250" s="4"/>
      <c r="M250" s="4"/>
      <c r="N250" s="4"/>
      <c r="O250" s="4"/>
      <c r="P250" s="4"/>
    </row>
    <row r="251" spans="8:16" x14ac:dyDescent="0.25">
      <c r="H251" s="4"/>
      <c r="I251" s="4"/>
      <c r="J251" s="4"/>
      <c r="K251" s="4"/>
      <c r="L251" s="4"/>
      <c r="M251" s="4"/>
      <c r="N251" s="4"/>
      <c r="O251" s="4"/>
      <c r="P251" s="4"/>
    </row>
    <row r="252" spans="8:16" x14ac:dyDescent="0.25">
      <c r="H252" s="4"/>
      <c r="I252" s="4"/>
      <c r="J252" s="4"/>
      <c r="K252" s="4"/>
      <c r="L252" s="4"/>
      <c r="M252" s="4"/>
      <c r="N252" s="4"/>
      <c r="O252" s="4"/>
      <c r="P252" s="4"/>
    </row>
    <row r="253" spans="8:16" x14ac:dyDescent="0.25">
      <c r="H253" s="4"/>
      <c r="I253" s="4"/>
      <c r="J253" s="4"/>
      <c r="K253" s="4"/>
      <c r="L253" s="4"/>
      <c r="M253" s="4"/>
      <c r="N253" s="4"/>
      <c r="O253" s="4"/>
      <c r="P253" s="4"/>
    </row>
    <row r="254" spans="8:16" x14ac:dyDescent="0.25">
      <c r="H254" s="4"/>
      <c r="I254" s="4"/>
      <c r="J254" s="4"/>
      <c r="K254" s="4"/>
      <c r="L254" s="4"/>
      <c r="M254" s="4"/>
      <c r="N254" s="4"/>
      <c r="O254" s="4"/>
      <c r="P254" s="4"/>
    </row>
    <row r="255" spans="8:16" x14ac:dyDescent="0.25">
      <c r="H255" s="4"/>
      <c r="I255" s="4"/>
      <c r="J255" s="4"/>
      <c r="K255" s="4"/>
      <c r="L255" s="4"/>
      <c r="M255" s="4"/>
      <c r="N255" s="4"/>
      <c r="O255" s="4"/>
      <c r="P255" s="4"/>
    </row>
    <row r="256" spans="8:16" x14ac:dyDescent="0.25">
      <c r="H256" s="4"/>
      <c r="I256" s="4"/>
      <c r="J256" s="4"/>
      <c r="K256" s="4"/>
      <c r="L256" s="4"/>
      <c r="M256" s="4"/>
      <c r="N256" s="4"/>
      <c r="O256" s="4"/>
      <c r="P256" s="4"/>
    </row>
    <row r="257" spans="8:16" x14ac:dyDescent="0.25">
      <c r="H257" s="4"/>
      <c r="I257" s="4"/>
      <c r="J257" s="4"/>
      <c r="K257" s="4"/>
      <c r="L257" s="4"/>
      <c r="M257" s="4"/>
      <c r="N257" s="4"/>
      <c r="O257" s="4"/>
      <c r="P257" s="4"/>
    </row>
    <row r="258" spans="8:16" x14ac:dyDescent="0.25">
      <c r="H258" s="4"/>
      <c r="I258" s="4"/>
      <c r="J258" s="4"/>
      <c r="K258" s="4"/>
      <c r="L258" s="4"/>
      <c r="M258" s="4"/>
      <c r="N258" s="4"/>
      <c r="O258" s="4"/>
      <c r="P258" s="4"/>
    </row>
    <row r="259" spans="8:16" x14ac:dyDescent="0.25">
      <c r="H259" s="4"/>
      <c r="I259" s="4"/>
      <c r="J259" s="4"/>
      <c r="K259" s="4"/>
      <c r="L259" s="4"/>
      <c r="M259" s="4"/>
      <c r="N259" s="4"/>
      <c r="O259" s="4"/>
      <c r="P259" s="4"/>
    </row>
    <row r="260" spans="8:16" x14ac:dyDescent="0.25">
      <c r="H260" s="4"/>
      <c r="I260" s="4"/>
      <c r="J260" s="4"/>
      <c r="K260" s="4"/>
      <c r="L260" s="4"/>
      <c r="M260" s="4"/>
      <c r="N260" s="4"/>
      <c r="O260" s="4"/>
      <c r="P260" s="4"/>
    </row>
    <row r="261" spans="8:16" x14ac:dyDescent="0.25">
      <c r="H261" s="4"/>
      <c r="I261" s="4"/>
      <c r="J261" s="4"/>
      <c r="K261" s="4"/>
      <c r="L261" s="4"/>
      <c r="M261" s="4"/>
      <c r="N261" s="4"/>
      <c r="O261" s="4"/>
      <c r="P261" s="4"/>
    </row>
    <row r="262" spans="8:16" x14ac:dyDescent="0.25">
      <c r="H262" s="4"/>
      <c r="I262" s="4"/>
      <c r="J262" s="4"/>
      <c r="K262" s="4"/>
      <c r="L262" s="4"/>
      <c r="M262" s="4"/>
      <c r="N262" s="4"/>
      <c r="O262" s="4"/>
      <c r="P262" s="4"/>
    </row>
    <row r="263" spans="8:16" x14ac:dyDescent="0.25">
      <c r="H263" s="4"/>
      <c r="I263" s="4"/>
      <c r="J263" s="4"/>
      <c r="K263" s="4"/>
      <c r="L263" s="4"/>
      <c r="M263" s="4"/>
      <c r="N263" s="4"/>
      <c r="O263" s="4"/>
      <c r="P263" s="4"/>
    </row>
    <row r="264" spans="8:16" x14ac:dyDescent="0.25">
      <c r="H264" s="4"/>
      <c r="I264" s="4"/>
      <c r="J264" s="4"/>
      <c r="K264" s="4"/>
      <c r="L264" s="4"/>
      <c r="M264" s="4"/>
      <c r="N264" s="4"/>
      <c r="O264" s="4"/>
      <c r="P264" s="4"/>
    </row>
    <row r="265" spans="8:16" x14ac:dyDescent="0.25">
      <c r="H265" s="4"/>
      <c r="I265" s="4"/>
      <c r="J265" s="4"/>
      <c r="K265" s="4"/>
      <c r="L265" s="4"/>
      <c r="M265" s="4"/>
      <c r="N265" s="4"/>
      <c r="O265" s="4"/>
      <c r="P265" s="4"/>
    </row>
    <row r="266" spans="8:16" x14ac:dyDescent="0.25">
      <c r="H266" s="4"/>
      <c r="I266" s="4"/>
      <c r="J266" s="4"/>
      <c r="K266" s="4"/>
      <c r="L266" s="4"/>
      <c r="M266" s="4"/>
      <c r="N266" s="4"/>
      <c r="O266" s="4"/>
      <c r="P266" s="4"/>
    </row>
    <row r="267" spans="8:16" x14ac:dyDescent="0.25">
      <c r="H267" s="4"/>
      <c r="I267" s="4"/>
      <c r="J267" s="4"/>
      <c r="K267" s="4"/>
      <c r="L267" s="4"/>
      <c r="M267" s="4"/>
      <c r="N267" s="4"/>
      <c r="O267" s="4"/>
      <c r="P267" s="4"/>
    </row>
    <row r="268" spans="8:16" x14ac:dyDescent="0.25">
      <c r="H268" s="4"/>
      <c r="I268" s="4"/>
      <c r="J268" s="4"/>
      <c r="K268" s="4"/>
      <c r="L268" s="4"/>
      <c r="M268" s="4"/>
      <c r="N268" s="4"/>
      <c r="O268" s="4"/>
      <c r="P268" s="4"/>
    </row>
    <row r="269" spans="8:16" x14ac:dyDescent="0.25">
      <c r="H269" s="4"/>
      <c r="I269" s="4"/>
      <c r="J269" s="4"/>
      <c r="K269" s="4"/>
      <c r="L269" s="4"/>
      <c r="M269" s="4"/>
      <c r="N269" s="4"/>
      <c r="O269" s="4"/>
      <c r="P269" s="4"/>
    </row>
    <row r="270" spans="8:16" x14ac:dyDescent="0.25">
      <c r="H270" s="4"/>
      <c r="I270" s="4"/>
      <c r="J270" s="4"/>
      <c r="K270" s="4"/>
      <c r="L270" s="4"/>
      <c r="M270" s="4"/>
      <c r="N270" s="4"/>
      <c r="O270" s="4"/>
      <c r="P270" s="4"/>
    </row>
    <row r="271" spans="8:16" x14ac:dyDescent="0.25">
      <c r="H271" s="4"/>
      <c r="I271" s="4"/>
      <c r="J271" s="4"/>
      <c r="K271" s="4"/>
      <c r="L271" s="4"/>
      <c r="M271" s="4"/>
      <c r="N271" s="4"/>
      <c r="O271" s="4"/>
      <c r="P271" s="4"/>
    </row>
    <row r="272" spans="8:16" x14ac:dyDescent="0.25">
      <c r="H272" s="4"/>
      <c r="I272" s="4"/>
      <c r="J272" s="4"/>
      <c r="K272" s="4"/>
      <c r="L272" s="4"/>
      <c r="M272" s="4"/>
      <c r="N272" s="4"/>
      <c r="O272" s="4"/>
      <c r="P272" s="4"/>
    </row>
    <row r="273" spans="8:16" x14ac:dyDescent="0.25">
      <c r="H273" s="4"/>
      <c r="I273" s="4"/>
      <c r="J273" s="4"/>
      <c r="K273" s="4"/>
      <c r="L273" s="4"/>
      <c r="M273" s="4"/>
      <c r="N273" s="4"/>
      <c r="O273" s="4"/>
      <c r="P273" s="4"/>
    </row>
    <row r="274" spans="8:16" x14ac:dyDescent="0.25">
      <c r="H274" s="4"/>
      <c r="I274" s="4"/>
      <c r="J274" s="4"/>
      <c r="K274" s="4"/>
      <c r="L274" s="4"/>
      <c r="M274" s="4"/>
      <c r="N274" s="4"/>
      <c r="O274" s="4"/>
      <c r="P274" s="4"/>
    </row>
    <row r="275" spans="8:16" x14ac:dyDescent="0.25">
      <c r="H275" s="4"/>
      <c r="I275" s="4"/>
      <c r="J275" s="4"/>
      <c r="K275" s="4"/>
      <c r="L275" s="4"/>
      <c r="M275" s="4"/>
      <c r="N275" s="4"/>
      <c r="O275" s="4"/>
      <c r="P275" s="4"/>
    </row>
    <row r="276" spans="8:16" x14ac:dyDescent="0.25">
      <c r="H276" s="4"/>
      <c r="I276" s="4"/>
      <c r="J276" s="4"/>
      <c r="K276" s="4"/>
      <c r="L276" s="4"/>
      <c r="M276" s="4"/>
      <c r="N276" s="4"/>
      <c r="O276" s="4"/>
      <c r="P276" s="4"/>
    </row>
    <row r="277" spans="8:16" x14ac:dyDescent="0.25">
      <c r="H277" s="4"/>
      <c r="I277" s="4"/>
      <c r="J277" s="4"/>
      <c r="K277" s="4"/>
      <c r="L277" s="4"/>
      <c r="M277" s="4"/>
      <c r="N277" s="4"/>
      <c r="O277" s="4"/>
      <c r="P277" s="4"/>
    </row>
    <row r="278" spans="8:16" x14ac:dyDescent="0.25">
      <c r="H278" s="4"/>
      <c r="I278" s="4"/>
      <c r="J278" s="4"/>
      <c r="K278" s="4"/>
      <c r="L278" s="4"/>
      <c r="M278" s="4"/>
      <c r="N278" s="4"/>
      <c r="O278" s="4"/>
      <c r="P278" s="4"/>
    </row>
    <row r="279" spans="8:16" x14ac:dyDescent="0.25">
      <c r="H279" s="4"/>
      <c r="I279" s="4"/>
      <c r="J279" s="4"/>
      <c r="K279" s="4"/>
      <c r="L279" s="4"/>
      <c r="M279" s="4"/>
      <c r="N279" s="4"/>
      <c r="O279" s="4"/>
      <c r="P279" s="4"/>
    </row>
    <row r="280" spans="8:16" x14ac:dyDescent="0.25">
      <c r="H280" s="4"/>
      <c r="I280" s="4"/>
      <c r="J280" s="4"/>
      <c r="K280" s="4"/>
      <c r="L280" s="4"/>
      <c r="M280" s="4"/>
      <c r="N280" s="4"/>
      <c r="O280" s="4"/>
      <c r="P280" s="4"/>
    </row>
    <row r="281" spans="8:16" x14ac:dyDescent="0.25">
      <c r="H281" s="4"/>
      <c r="I281" s="4"/>
      <c r="J281" s="4"/>
      <c r="K281" s="4"/>
      <c r="L281" s="4"/>
      <c r="M281" s="4"/>
      <c r="N281" s="4"/>
      <c r="O281" s="4"/>
      <c r="P281" s="4"/>
    </row>
    <row r="282" spans="8:16" x14ac:dyDescent="0.25">
      <c r="H282" s="4"/>
      <c r="I282" s="4"/>
      <c r="J282" s="4"/>
      <c r="K282" s="4"/>
      <c r="L282" s="4"/>
      <c r="M282" s="4"/>
      <c r="N282" s="4"/>
      <c r="O282" s="4"/>
      <c r="P282" s="4"/>
    </row>
    <row r="283" spans="8:16" x14ac:dyDescent="0.25">
      <c r="H283" s="4"/>
      <c r="I283" s="4"/>
      <c r="J283" s="4"/>
      <c r="K283" s="4"/>
      <c r="L283" s="4"/>
      <c r="M283" s="4"/>
      <c r="N283" s="4"/>
      <c r="O283" s="4"/>
      <c r="P283" s="4"/>
    </row>
    <row r="284" spans="8:16" x14ac:dyDescent="0.25">
      <c r="H284" s="4"/>
      <c r="I284" s="4"/>
      <c r="J284" s="4"/>
      <c r="K284" s="4"/>
      <c r="L284" s="4"/>
      <c r="M284" s="4"/>
      <c r="N284" s="4"/>
      <c r="O284" s="4"/>
      <c r="P284" s="4"/>
    </row>
    <row r="285" spans="8:16" x14ac:dyDescent="0.25">
      <c r="H285" s="4"/>
      <c r="I285" s="4"/>
      <c r="J285" s="4"/>
      <c r="K285" s="4"/>
      <c r="L285" s="4"/>
      <c r="M285" s="4"/>
      <c r="N285" s="4"/>
      <c r="O285" s="4"/>
      <c r="P285" s="4"/>
    </row>
    <row r="286" spans="8:16" x14ac:dyDescent="0.25">
      <c r="H286" s="4"/>
      <c r="I286" s="4"/>
      <c r="J286" s="4"/>
      <c r="K286" s="4"/>
      <c r="L286" s="4"/>
      <c r="M286" s="4"/>
      <c r="N286" s="4"/>
      <c r="O286" s="4"/>
      <c r="P286" s="4"/>
    </row>
    <row r="287" spans="8:16" x14ac:dyDescent="0.25">
      <c r="H287" s="4"/>
      <c r="I287" s="4"/>
      <c r="J287" s="4"/>
      <c r="K287" s="4"/>
      <c r="L287" s="4"/>
      <c r="M287" s="4"/>
      <c r="N287" s="4"/>
      <c r="O287" s="4"/>
      <c r="P287" s="4"/>
    </row>
    <row r="288" spans="8:16" x14ac:dyDescent="0.25">
      <c r="H288" s="4"/>
      <c r="I288" s="4"/>
      <c r="J288" s="4"/>
      <c r="K288" s="4"/>
      <c r="L288" s="4"/>
      <c r="M288" s="4"/>
      <c r="N288" s="4"/>
      <c r="O288" s="4"/>
      <c r="P288" s="4"/>
    </row>
    <row r="289" spans="8:16" x14ac:dyDescent="0.25">
      <c r="H289" s="4"/>
      <c r="I289" s="4"/>
      <c r="J289" s="4"/>
      <c r="K289" s="4"/>
      <c r="L289" s="4"/>
      <c r="M289" s="4"/>
      <c r="N289" s="4"/>
      <c r="O289" s="4"/>
      <c r="P289" s="4"/>
    </row>
    <row r="290" spans="8:16" x14ac:dyDescent="0.25">
      <c r="H290" s="4"/>
      <c r="I290" s="4"/>
      <c r="J290" s="4"/>
      <c r="K290" s="4"/>
      <c r="L290" s="4"/>
      <c r="M290" s="4"/>
      <c r="N290" s="4"/>
      <c r="O290" s="4"/>
      <c r="P290" s="4"/>
    </row>
    <row r="291" spans="8:16" x14ac:dyDescent="0.25">
      <c r="H291" s="4"/>
      <c r="I291" s="4"/>
      <c r="J291" s="4"/>
      <c r="K291" s="4"/>
      <c r="L291" s="4"/>
      <c r="M291" s="4"/>
      <c r="N291" s="4"/>
      <c r="O291" s="4"/>
      <c r="P291" s="4"/>
    </row>
    <row r="292" spans="8:16" x14ac:dyDescent="0.25">
      <c r="H292" s="4"/>
      <c r="I292" s="4"/>
      <c r="J292" s="4"/>
      <c r="K292" s="4"/>
      <c r="L292" s="4"/>
      <c r="M292" s="4"/>
      <c r="N292" s="4"/>
      <c r="O292" s="4"/>
      <c r="P292" s="4"/>
    </row>
    <row r="293" spans="8:16" x14ac:dyDescent="0.25">
      <c r="H293" s="4"/>
      <c r="I293" s="4"/>
      <c r="J293" s="4"/>
      <c r="K293" s="4"/>
      <c r="L293" s="4"/>
      <c r="M293" s="4"/>
      <c r="N293" s="4"/>
      <c r="O293" s="4"/>
      <c r="P293" s="4"/>
    </row>
    <row r="294" spans="8:16" x14ac:dyDescent="0.25">
      <c r="H294" s="4"/>
      <c r="I294" s="4"/>
      <c r="J294" s="4"/>
      <c r="K294" s="4"/>
      <c r="L294" s="4"/>
      <c r="M294" s="4"/>
      <c r="N294" s="4"/>
      <c r="O294" s="4"/>
      <c r="P294" s="4"/>
    </row>
    <row r="295" spans="8:16" x14ac:dyDescent="0.25">
      <c r="H295" s="4"/>
      <c r="I295" s="4"/>
      <c r="J295" s="4"/>
      <c r="K295" s="4"/>
      <c r="L295" s="4"/>
      <c r="M295" s="4"/>
      <c r="N295" s="4"/>
      <c r="O295" s="4"/>
      <c r="P295" s="4"/>
    </row>
    <row r="296" spans="8:16" x14ac:dyDescent="0.25">
      <c r="H296" s="4"/>
      <c r="I296" s="4"/>
      <c r="J296" s="4"/>
      <c r="K296" s="4"/>
      <c r="L296" s="4"/>
      <c r="M296" s="4"/>
      <c r="N296" s="4"/>
      <c r="O296" s="4"/>
      <c r="P296" s="4"/>
    </row>
    <row r="297" spans="8:16" x14ac:dyDescent="0.25">
      <c r="H297" s="4"/>
      <c r="I297" s="4"/>
      <c r="J297" s="4"/>
      <c r="K297" s="4"/>
      <c r="L297" s="4"/>
      <c r="M297" s="4"/>
      <c r="N297" s="4"/>
      <c r="O297" s="4"/>
      <c r="P297" s="4"/>
    </row>
    <row r="298" spans="8:16" x14ac:dyDescent="0.25">
      <c r="H298" s="4"/>
      <c r="I298" s="4"/>
      <c r="J298" s="4"/>
      <c r="K298" s="4"/>
      <c r="L298" s="4"/>
      <c r="M298" s="4"/>
      <c r="N298" s="4"/>
      <c r="O298" s="4"/>
      <c r="P298" s="4"/>
    </row>
    <row r="299" spans="8:16" x14ac:dyDescent="0.25">
      <c r="H299" s="4"/>
      <c r="I299" s="4"/>
      <c r="J299" s="4"/>
      <c r="K299" s="4"/>
      <c r="L299" s="4"/>
      <c r="M299" s="4"/>
      <c r="N299" s="4"/>
      <c r="O299" s="4"/>
      <c r="P299" s="4"/>
    </row>
    <row r="300" spans="8:16" x14ac:dyDescent="0.25">
      <c r="H300" s="4"/>
      <c r="I300" s="4"/>
      <c r="J300" s="4"/>
      <c r="K300" s="4"/>
      <c r="L300" s="4"/>
      <c r="M300" s="4"/>
      <c r="N300" s="4"/>
      <c r="O300" s="4"/>
      <c r="P300" s="4"/>
    </row>
    <row r="301" spans="8:16" x14ac:dyDescent="0.25">
      <c r="H301" s="4"/>
    </row>
    <row r="302" spans="8:16" x14ac:dyDescent="0.25">
      <c r="H302" s="4"/>
    </row>
    <row r="303" spans="8:16" x14ac:dyDescent="0.25">
      <c r="H303" s="4"/>
    </row>
    <row r="304" spans="8:16" x14ac:dyDescent="0.25">
      <c r="H304" s="4"/>
    </row>
    <row r="305" spans="8:8" x14ac:dyDescent="0.25">
      <c r="H305" s="4"/>
    </row>
    <row r="306" spans="8:8" x14ac:dyDescent="0.25">
      <c r="H306" s="4"/>
    </row>
  </sheetData>
  <autoFilter ref="A1:R233" xr:uid="{00000000-0001-0000-0000-000000000000}"/>
  <phoneticPr fontId="1" type="noConversion"/>
  <conditionalFormatting sqref="B20:E233">
    <cfRule type="colorScale" priority="232">
      <colorScale>
        <cfvo type="min"/>
        <cfvo type="max"/>
        <color rgb="FFFCFCFF"/>
        <color rgb="FF63BE7B"/>
      </colorScale>
    </cfRule>
  </conditionalFormatting>
  <conditionalFormatting sqref="B2:E233">
    <cfRule type="colorScale" priority="231">
      <colorScale>
        <cfvo type="min"/>
        <cfvo type="max"/>
        <color rgb="FFFCFCFF"/>
        <color rgb="FF63BE7B"/>
      </colorScale>
    </cfRule>
  </conditionalFormatting>
  <conditionalFormatting sqref="G2:G233">
    <cfRule type="colorScale" priority="229">
      <colorScale>
        <cfvo type="min"/>
        <cfvo type="max"/>
        <color theme="8" tint="0.79998168889431442"/>
        <color rgb="FFFF0000"/>
      </colorScale>
    </cfRule>
    <cfRule type="colorScale" priority="23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2:H3">
    <cfRule type="colorScale" priority="227">
      <colorScale>
        <cfvo type="min"/>
        <cfvo type="max"/>
        <color theme="8" tint="0.79998168889431442"/>
        <color rgb="FFFF0000"/>
      </colorScale>
    </cfRule>
    <cfRule type="colorScale" priority="2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2:I3">
    <cfRule type="colorScale" priority="225">
      <colorScale>
        <cfvo type="min"/>
        <cfvo type="max"/>
        <color theme="8" tint="0.79998168889431442"/>
        <color rgb="FFFF0000"/>
      </colorScale>
    </cfRule>
    <cfRule type="colorScale" priority="2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2:J3">
    <cfRule type="colorScale" priority="223">
      <colorScale>
        <cfvo type="min"/>
        <cfvo type="max"/>
        <color theme="8" tint="0.79998168889431442"/>
        <color rgb="FFFF0000"/>
      </colorScale>
    </cfRule>
    <cfRule type="colorScale" priority="2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2:K3">
    <cfRule type="colorScale" priority="221">
      <colorScale>
        <cfvo type="min"/>
        <cfvo type="max"/>
        <color theme="8" tint="0.79998168889431442"/>
        <color rgb="FFFF0000"/>
      </colorScale>
    </cfRule>
    <cfRule type="colorScale" priority="2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2:L3">
    <cfRule type="colorScale" priority="219">
      <colorScale>
        <cfvo type="min"/>
        <cfvo type="max"/>
        <color theme="8" tint="0.79998168889431442"/>
        <color rgb="FFFF0000"/>
      </colorScale>
    </cfRule>
    <cfRule type="colorScale" priority="2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2:M3">
    <cfRule type="colorScale" priority="217">
      <colorScale>
        <cfvo type="min"/>
        <cfvo type="max"/>
        <color theme="8" tint="0.79998168889431442"/>
        <color rgb="FFFF0000"/>
      </colorScale>
    </cfRule>
    <cfRule type="colorScale" priority="2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N2:N3">
    <cfRule type="colorScale" priority="215">
      <colorScale>
        <cfvo type="min"/>
        <cfvo type="max"/>
        <color theme="8" tint="0.79998168889431442"/>
        <color rgb="FFFF0000"/>
      </colorScale>
    </cfRule>
    <cfRule type="colorScale" priority="2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2:O3">
    <cfRule type="colorScale" priority="213">
      <colorScale>
        <cfvo type="min"/>
        <cfvo type="max"/>
        <color theme="8" tint="0.79998168889431442"/>
        <color rgb="FFFF0000"/>
      </colorScale>
    </cfRule>
    <cfRule type="colorScale" priority="2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2:P3">
    <cfRule type="colorScale" priority="211">
      <colorScale>
        <cfvo type="min"/>
        <cfvo type="max"/>
        <color theme="8" tint="0.79998168889431442"/>
        <color rgb="FFFF0000"/>
      </colorScale>
    </cfRule>
    <cfRule type="colorScale" priority="2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4:G232">
    <cfRule type="colorScale" priority="76">
      <colorScale>
        <cfvo type="min"/>
        <cfvo type="max"/>
        <color theme="0"/>
        <color theme="4" tint="-0.249977111117893"/>
      </colorScale>
    </cfRule>
    <cfRule type="colorScale" priority="209">
      <colorScale>
        <cfvo type="min"/>
        <cfvo type="max"/>
        <color theme="0"/>
        <color theme="4" tint="-0.249977111117893"/>
      </colorScale>
    </cfRule>
    <cfRule type="colorScale" priority="210">
      <colorScale>
        <cfvo type="min"/>
        <cfvo type="max"/>
        <color theme="1"/>
        <color theme="0"/>
      </colorScale>
    </cfRule>
  </conditionalFormatting>
  <conditionalFormatting sqref="H301:H306">
    <cfRule type="colorScale" priority="64">
      <colorScale>
        <cfvo type="min"/>
        <cfvo type="max"/>
        <color theme="8" tint="0.79998168889431442"/>
        <color rgb="FFFF0000"/>
      </colorScale>
    </cfRule>
    <cfRule type="colorScale" priority="6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301:H306">
    <cfRule type="colorScale" priority="61">
      <colorScale>
        <cfvo type="min"/>
        <cfvo type="max"/>
        <color theme="0"/>
        <color theme="4" tint="-0.249977111117893"/>
      </colorScale>
    </cfRule>
    <cfRule type="colorScale" priority="62">
      <colorScale>
        <cfvo type="min"/>
        <cfvo type="max"/>
        <color theme="0"/>
        <color theme="4" tint="-0.249977111117893"/>
      </colorScale>
    </cfRule>
    <cfRule type="colorScale" priority="63">
      <colorScale>
        <cfvo type="min"/>
        <cfvo type="max"/>
        <color theme="1"/>
        <color theme="0"/>
      </colorScale>
    </cfRule>
  </conditionalFormatting>
  <conditionalFormatting sqref="H4:H300">
    <cfRule type="colorScale" priority="44">
      <colorScale>
        <cfvo type="min"/>
        <cfvo type="max"/>
        <color theme="8" tint="0.79998168889431442"/>
        <color rgb="FFFF0000"/>
      </colorScale>
    </cfRule>
    <cfRule type="colorScale" priority="4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4:H300">
    <cfRule type="colorScale" priority="41">
      <colorScale>
        <cfvo type="min"/>
        <cfvo type="max"/>
        <color theme="0"/>
        <color theme="4" tint="-0.249977111117893"/>
      </colorScale>
    </cfRule>
    <cfRule type="colorScale" priority="42">
      <colorScale>
        <cfvo type="min"/>
        <cfvo type="max"/>
        <color theme="0"/>
        <color theme="4" tint="-0.249977111117893"/>
      </colorScale>
    </cfRule>
    <cfRule type="colorScale" priority="43">
      <colorScale>
        <cfvo type="min"/>
        <cfvo type="max"/>
        <color theme="1"/>
        <color theme="0"/>
      </colorScale>
    </cfRule>
  </conditionalFormatting>
  <conditionalFormatting sqref="I4:I300">
    <cfRule type="colorScale" priority="39">
      <colorScale>
        <cfvo type="min"/>
        <cfvo type="max"/>
        <color theme="8" tint="0.79998168889431442"/>
        <color rgb="FFFF0000"/>
      </colorScale>
    </cfRule>
    <cfRule type="colorScale" priority="4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4:I300">
    <cfRule type="colorScale" priority="36">
      <colorScale>
        <cfvo type="min"/>
        <cfvo type="max"/>
        <color theme="0"/>
        <color theme="4" tint="-0.249977111117893"/>
      </colorScale>
    </cfRule>
    <cfRule type="colorScale" priority="37">
      <colorScale>
        <cfvo type="min"/>
        <cfvo type="max"/>
        <color theme="0"/>
        <color theme="4" tint="-0.249977111117893"/>
      </colorScale>
    </cfRule>
    <cfRule type="colorScale" priority="38">
      <colorScale>
        <cfvo type="min"/>
        <cfvo type="max"/>
        <color theme="1"/>
        <color theme="0"/>
      </colorScale>
    </cfRule>
  </conditionalFormatting>
  <conditionalFormatting sqref="J4:J300">
    <cfRule type="colorScale" priority="34">
      <colorScale>
        <cfvo type="min"/>
        <cfvo type="max"/>
        <color theme="8" tint="0.79998168889431442"/>
        <color rgb="FFFF0000"/>
      </colorScale>
    </cfRule>
    <cfRule type="colorScale" priority="3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4:J300">
    <cfRule type="colorScale" priority="31">
      <colorScale>
        <cfvo type="min"/>
        <cfvo type="max"/>
        <color theme="0"/>
        <color theme="4" tint="-0.249977111117893"/>
      </colorScale>
    </cfRule>
    <cfRule type="colorScale" priority="32">
      <colorScale>
        <cfvo type="min"/>
        <cfvo type="max"/>
        <color theme="0"/>
        <color theme="4" tint="-0.249977111117893"/>
      </colorScale>
    </cfRule>
    <cfRule type="colorScale" priority="33">
      <colorScale>
        <cfvo type="min"/>
        <cfvo type="max"/>
        <color theme="1"/>
        <color theme="0"/>
      </colorScale>
    </cfRule>
  </conditionalFormatting>
  <conditionalFormatting sqref="K4:K300">
    <cfRule type="colorScale" priority="29">
      <colorScale>
        <cfvo type="min"/>
        <cfvo type="max"/>
        <color theme="8" tint="0.79998168889431442"/>
        <color rgb="FFFF0000"/>
      </colorScale>
    </cfRule>
    <cfRule type="colorScale" priority="3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4:K300">
    <cfRule type="colorScale" priority="26">
      <colorScale>
        <cfvo type="min"/>
        <cfvo type="max"/>
        <color theme="0"/>
        <color theme="4" tint="-0.249977111117893"/>
      </colorScale>
    </cfRule>
    <cfRule type="colorScale" priority="27">
      <colorScale>
        <cfvo type="min"/>
        <cfvo type="max"/>
        <color theme="0"/>
        <color theme="4" tint="-0.249977111117893"/>
      </colorScale>
    </cfRule>
    <cfRule type="colorScale" priority="28">
      <colorScale>
        <cfvo type="min"/>
        <cfvo type="max"/>
        <color theme="1"/>
        <color theme="0"/>
      </colorScale>
    </cfRule>
  </conditionalFormatting>
  <conditionalFormatting sqref="L4:L300">
    <cfRule type="colorScale" priority="24">
      <colorScale>
        <cfvo type="min"/>
        <cfvo type="max"/>
        <color theme="8" tint="0.79998168889431442"/>
        <color rgb="FFFF0000"/>
      </colorScale>
    </cfRule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4:L300">
    <cfRule type="colorScale" priority="21">
      <colorScale>
        <cfvo type="min"/>
        <cfvo type="max"/>
        <color theme="0"/>
        <color theme="4" tint="-0.249977111117893"/>
      </colorScale>
    </cfRule>
    <cfRule type="colorScale" priority="22">
      <colorScale>
        <cfvo type="min"/>
        <cfvo type="max"/>
        <color theme="0"/>
        <color theme="4" tint="-0.249977111117893"/>
      </colorScale>
    </cfRule>
    <cfRule type="colorScale" priority="23">
      <colorScale>
        <cfvo type="min"/>
        <cfvo type="max"/>
        <color theme="1"/>
        <color theme="0"/>
      </colorScale>
    </cfRule>
  </conditionalFormatting>
  <conditionalFormatting sqref="M4:M300">
    <cfRule type="colorScale" priority="19">
      <colorScale>
        <cfvo type="min"/>
        <cfvo type="max"/>
        <color theme="8" tint="0.79998168889431442"/>
        <color rgb="FFFF0000"/>
      </colorScale>
    </cfRule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4:M300">
    <cfRule type="colorScale" priority="16">
      <colorScale>
        <cfvo type="min"/>
        <cfvo type="max"/>
        <color theme="0"/>
        <color theme="4" tint="-0.249977111117893"/>
      </colorScale>
    </cfRule>
    <cfRule type="colorScale" priority="17">
      <colorScale>
        <cfvo type="min"/>
        <cfvo type="max"/>
        <color theme="0"/>
        <color theme="4" tint="-0.249977111117893"/>
      </colorScale>
    </cfRule>
    <cfRule type="colorScale" priority="18">
      <colorScale>
        <cfvo type="min"/>
        <cfvo type="max"/>
        <color theme="1"/>
        <color theme="0"/>
      </colorScale>
    </cfRule>
  </conditionalFormatting>
  <conditionalFormatting sqref="N4:N300">
    <cfRule type="colorScale" priority="14">
      <colorScale>
        <cfvo type="min"/>
        <cfvo type="max"/>
        <color theme="8" tint="0.79998168889431442"/>
        <color rgb="FFFF0000"/>
      </colorScale>
    </cfRule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N4:N300">
    <cfRule type="colorScale" priority="11">
      <colorScale>
        <cfvo type="min"/>
        <cfvo type="max"/>
        <color theme="0"/>
        <color theme="4" tint="-0.249977111117893"/>
      </colorScale>
    </cfRule>
    <cfRule type="colorScale" priority="12">
      <colorScale>
        <cfvo type="min"/>
        <cfvo type="max"/>
        <color theme="0"/>
        <color theme="4" tint="-0.249977111117893"/>
      </colorScale>
    </cfRule>
    <cfRule type="colorScale" priority="13">
      <colorScale>
        <cfvo type="min"/>
        <cfvo type="max"/>
        <color theme="1"/>
        <color theme="0"/>
      </colorScale>
    </cfRule>
  </conditionalFormatting>
  <conditionalFormatting sqref="O4:O300">
    <cfRule type="colorScale" priority="9">
      <colorScale>
        <cfvo type="min"/>
        <cfvo type="max"/>
        <color theme="8" tint="0.79998168889431442"/>
        <color rgb="FFFF0000"/>
      </colorScale>
    </cfRule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4:O300">
    <cfRule type="colorScale" priority="6">
      <colorScale>
        <cfvo type="min"/>
        <cfvo type="max"/>
        <color theme="0"/>
        <color theme="4" tint="-0.249977111117893"/>
      </colorScale>
    </cfRule>
    <cfRule type="colorScale" priority="7">
      <colorScale>
        <cfvo type="min"/>
        <cfvo type="max"/>
        <color theme="0"/>
        <color theme="4" tint="-0.249977111117893"/>
      </colorScale>
    </cfRule>
    <cfRule type="colorScale" priority="8">
      <colorScale>
        <cfvo type="min"/>
        <cfvo type="max"/>
        <color theme="1"/>
        <color theme="0"/>
      </colorScale>
    </cfRule>
  </conditionalFormatting>
  <conditionalFormatting sqref="P4:P300">
    <cfRule type="colorScale" priority="4">
      <colorScale>
        <cfvo type="min"/>
        <cfvo type="max"/>
        <color theme="8" tint="0.79998168889431442"/>
        <color rgb="FFFF0000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4:P300">
    <cfRule type="colorScale" priority="1">
      <colorScale>
        <cfvo type="min"/>
        <cfvo type="max"/>
        <color theme="0"/>
        <color theme="4" tint="-0.249977111117893"/>
      </colorScale>
    </cfRule>
    <cfRule type="colorScale" priority="2">
      <colorScale>
        <cfvo type="min"/>
        <cfvo type="max"/>
        <color theme="0"/>
        <color theme="4" tint="-0.249977111117893"/>
      </colorScale>
    </cfRule>
    <cfRule type="colorScale" priority="3">
      <colorScale>
        <cfvo type="min"/>
        <cfvo type="max"/>
        <color theme="1"/>
        <color theme="0"/>
      </colorScale>
    </cfRule>
  </conditionalFormatting>
  <pageMargins left="0.75" right="0.75" top="1" bottom="1" header="0.5" footer="0.5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drug1</vt:lpstr>
      <vt:lpstr>drug1!Criteria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黄旭</dc:creator>
  <cp:lastModifiedBy>黄 旭</cp:lastModifiedBy>
  <dcterms:created xsi:type="dcterms:W3CDTF">2024-11-09T08:18:00Z</dcterms:created>
  <dcterms:modified xsi:type="dcterms:W3CDTF">2026-02-28T13:06:33Z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39B5194E8D1E4C2485E7A9E1EBF49BDD</vt:lpwstr>
  </property>
  <property fmtid="{D5CDD505-2E9C-101B-9397-08002B2CF9AE}" pid="3" name="KSOProductBuildVer">
    <vt:lpwstr>2052-11.1.0.12165</vt:lpwstr>
  </property>
</Properties>
</file>